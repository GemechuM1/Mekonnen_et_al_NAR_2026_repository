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7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mechu/Desktop/Research/FUS_DDX6 /PAPER_FIGURES/WT FUS + U40 + WT DDX6/"/>
    </mc:Choice>
  </mc:AlternateContent>
  <xr:revisionPtr revIDLastSave="0" documentId="13_ncr:1_{179C926E-9CFD-5E4C-B367-B7AC956A6240}" xr6:coauthVersionLast="47" xr6:coauthVersionMax="47" xr10:uidLastSave="{00000000-0000-0000-0000-000000000000}"/>
  <bookViews>
    <workbookView xWindow="1160" yWindow="680" windowWidth="27640" windowHeight="15640" xr2:uid="{73F02722-7EFC-0D43-AF5E-48FEAF3F3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R9" i="1"/>
  <c r="Q8" i="1"/>
  <c r="R8" i="1"/>
  <c r="Q7" i="1"/>
  <c r="R7" i="1"/>
  <c r="Q6" i="1"/>
  <c r="R6" i="1"/>
  <c r="Q5" i="1"/>
  <c r="R5" i="1"/>
  <c r="Q4" i="1"/>
  <c r="R4" i="1"/>
  <c r="Q3" i="1"/>
  <c r="R3" i="1"/>
  <c r="Q2" i="1"/>
  <c r="R2" i="1"/>
  <c r="P3" i="1"/>
  <c r="P4" i="1"/>
  <c r="P5" i="1"/>
  <c r="P6" i="1"/>
  <c r="P7" i="1"/>
  <c r="P8" i="1"/>
  <c r="P9" i="1"/>
  <c r="P2" i="1"/>
  <c r="N3" i="1"/>
  <c r="N2" i="1"/>
  <c r="N4" i="1"/>
  <c r="N5" i="1"/>
  <c r="N6" i="1"/>
  <c r="N7" i="1"/>
  <c r="N8" i="1"/>
  <c r="N9" i="1"/>
  <c r="M4" i="1"/>
  <c r="M5" i="1"/>
  <c r="M6" i="1"/>
  <c r="M7" i="1"/>
  <c r="M8" i="1"/>
  <c r="M9" i="1"/>
  <c r="M2" i="1"/>
  <c r="M3" i="1"/>
  <c r="L3" i="1"/>
  <c r="L4" i="1"/>
  <c r="L5" i="1"/>
  <c r="L6" i="1"/>
  <c r="L7" i="1"/>
  <c r="L8" i="1"/>
  <c r="L9" i="1"/>
  <c r="L2" i="1"/>
</calcChain>
</file>

<file path=xl/sharedStrings.xml><?xml version="1.0" encoding="utf-8"?>
<sst xmlns="http://schemas.openxmlformats.org/spreadsheetml/2006/main" count="16" uniqueCount="16">
  <si>
    <t>[DDX6]</t>
  </si>
  <si>
    <t>Number of Droplets r1</t>
  </si>
  <si>
    <t>Mean Area r1</t>
  </si>
  <si>
    <t>Total Area r1</t>
  </si>
  <si>
    <t>Number of Droplets r2</t>
  </si>
  <si>
    <t>Mean Area r2</t>
  </si>
  <si>
    <t>Total Area r2</t>
  </si>
  <si>
    <t>Number of Droplets r3</t>
  </si>
  <si>
    <t>Mean Area r3</t>
  </si>
  <si>
    <t>Total Area r3</t>
  </si>
  <si>
    <t>Number of Droplets mean</t>
  </si>
  <si>
    <t>Mean Area mean</t>
  </si>
  <si>
    <t>Total Area mean</t>
  </si>
  <si>
    <t>Number of Droplets SEM</t>
  </si>
  <si>
    <t>Mean Area  SEM</t>
  </si>
  <si>
    <t>Total Area 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</si>
</sst>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 sz="2400">
                <a:latin typeface="Helvetica" pitchFamily="2" charset="0"/>
              </a:rPr>
              <a:t>WT FUS + U40 + WT</a:t>
            </a:r>
            <a:r>
              <a:rPr lang="en-US" sz="2400" baseline="0">
                <a:latin typeface="Helvetica" pitchFamily="2" charset="0"/>
              </a:rPr>
              <a:t> DDX6 </a:t>
            </a:r>
            <a:endParaRPr lang="en-US" sz="2400">
              <a:latin typeface="Helvetica" pitchFamily="2" charset="0"/>
            </a:endParaRPr>
          </a:p>
        </c:rich>
      </c:tx>
      <c:layout>
        <c:manualLayout>
          <c:xMode val="edge"/>
          <c:yMode val="edge"/>
          <c:x val="0.19553997156605424"/>
          <c:y val="3.136847477398659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81731189851268"/>
          <c:y val="7.6307961504811894E-2"/>
          <c:w val="0.72557387357830272"/>
          <c:h val="0.7894748833479147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Number of Droplets mean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Sheet1!$P$2:$P$9</c:f>
                <c:numCache>
                  <c:formatCode>General</c:formatCode>
                  <c:ptCount val="8"/>
                  <c:pt idx="0">
                    <c:v>82.895945484551845</c:v>
                  </c:pt>
                  <c:pt idx="1">
                    <c:v>80.392067049208549</c:v>
                  </c:pt>
                  <c:pt idx="2">
                    <c:v>66.30478447626885</c:v>
                  </c:pt>
                  <c:pt idx="3">
                    <c:v>61.420626285746764</c:v>
                  </c:pt>
                  <c:pt idx="4">
                    <c:v>152.9981844481967</c:v>
                  </c:pt>
                  <c:pt idx="5">
                    <c:v>110.48706309388008</c:v>
                  </c:pt>
                  <c:pt idx="6">
                    <c:v>78.6110255201732</c:v>
                  </c:pt>
                  <c:pt idx="7">
                    <c:v>112.00579350095151</c:v>
                  </c:pt>
                </c:numCache>
              </c:numRef>
            </c:plus>
            <c:minus>
              <c:numRef>
                <c:f>Sheet1!$P$2:$P$9</c:f>
                <c:numCache>
                  <c:formatCode>General</c:formatCode>
                  <c:ptCount val="8"/>
                  <c:pt idx="0">
                    <c:v>82.895945484551845</c:v>
                  </c:pt>
                  <c:pt idx="1">
                    <c:v>80.392067049208549</c:v>
                  </c:pt>
                  <c:pt idx="2">
                    <c:v>66.30478447626885</c:v>
                  </c:pt>
                  <c:pt idx="3">
                    <c:v>61.420626285746764</c:v>
                  </c:pt>
                  <c:pt idx="4">
                    <c:v>152.9981844481967</c:v>
                  </c:pt>
                  <c:pt idx="5">
                    <c:v>110.48706309388008</c:v>
                  </c:pt>
                  <c:pt idx="6">
                    <c:v>78.6110255201732</c:v>
                  </c:pt>
                  <c:pt idx="7">
                    <c:v>112.00579350095151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xVal>
          <c:yVal>
            <c:numRef>
              <c:f>Sheet1!$L$2:$L$9</c:f>
              <c:numCache>
                <c:formatCode>General</c:formatCode>
                <c:ptCount val="8"/>
                <c:pt idx="0">
                  <c:v>707.86666666666667</c:v>
                </c:pt>
                <c:pt idx="1">
                  <c:v>674.66666666666663</c:v>
                </c:pt>
                <c:pt idx="2">
                  <c:v>716.33333333333337</c:v>
                </c:pt>
                <c:pt idx="3">
                  <c:v>766.4</c:v>
                </c:pt>
                <c:pt idx="4">
                  <c:v>873.06666666666672</c:v>
                </c:pt>
                <c:pt idx="5">
                  <c:v>797.06666666666672</c:v>
                </c:pt>
                <c:pt idx="6">
                  <c:v>602.4</c:v>
                </c:pt>
                <c:pt idx="7">
                  <c:v>582.13333333333333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scatterChart>
        <c:scatterStyle val="lineMarker"/>
        <c:varyColors val="0"/>
        <c:ser>
          <c:idx val="1"/>
          <c:order val="1"/>
          <c:tx>
            <c:strRef>
              <c:f>Sheet1!$M$1</c:f>
              <c:strCache>
                <c:ptCount val="1"/>
                <c:pt idx="0">
                  <c:v>Mean Area 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Sheet1!$Q$2:$Q$9</c:f>
                <c:numCache>
                  <c:formatCode>General</c:formatCode>
                  <c:ptCount val="8"/>
                  <c:pt idx="0">
                    <c:v>6.8518255967329189E-2</c:v>
                  </c:pt>
                  <c:pt idx="1">
                    <c:v>0.12364374220363923</c:v>
                  </c:pt>
                  <c:pt idx="2">
                    <c:v>0.14869093060664854</c:v>
                  </c:pt>
                  <c:pt idx="3">
                    <c:v>0.1836571814634477</c:v>
                  </c:pt>
                  <c:pt idx="4">
                    <c:v>0.22673630383591714</c:v>
                  </c:pt>
                  <c:pt idx="5">
                    <c:v>0.24060858468002466</c:v>
                  </c:pt>
                  <c:pt idx="6">
                    <c:v>0.21277229965767019</c:v>
                  </c:pt>
                  <c:pt idx="7">
                    <c:v>0.22104529302389075</c:v>
                  </c:pt>
                </c:numCache>
              </c:numRef>
            </c:plus>
            <c:minus>
              <c:numRef>
                <c:f>Sheet1!$Q$2:$Q$9</c:f>
                <c:numCache>
                  <c:formatCode>General</c:formatCode>
                  <c:ptCount val="8"/>
                  <c:pt idx="0">
                    <c:v>6.8518255967329189E-2</c:v>
                  </c:pt>
                  <c:pt idx="1">
                    <c:v>0.12364374220363923</c:v>
                  </c:pt>
                  <c:pt idx="2">
                    <c:v>0.14869093060664854</c:v>
                  </c:pt>
                  <c:pt idx="3">
                    <c:v>0.1836571814634477</c:v>
                  </c:pt>
                  <c:pt idx="4">
                    <c:v>0.22673630383591714</c:v>
                  </c:pt>
                  <c:pt idx="5">
                    <c:v>0.24060858468002466</c:v>
                  </c:pt>
                  <c:pt idx="6">
                    <c:v>0.21277229965767019</c:v>
                  </c:pt>
                  <c:pt idx="7">
                    <c:v>0.22104529302389075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</c:errBars>
          <c:xVal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xVal>
          <c:yVal>
            <c:numRef>
              <c:f>Sheet1!$M$2:$M$9</c:f>
              <c:numCache>
                <c:formatCode>General</c:formatCode>
                <c:ptCount val="8"/>
                <c:pt idx="0">
                  <c:v>1.4245524666666665</c:v>
                </c:pt>
                <c:pt idx="1">
                  <c:v>1.2321212000000001</c:v>
                </c:pt>
                <c:pt idx="2">
                  <c:v>1.1815095333333334</c:v>
                </c:pt>
                <c:pt idx="3">
                  <c:v>1.1563249333333332</c:v>
                </c:pt>
                <c:pt idx="4">
                  <c:v>1.0621249999999998</c:v>
                </c:pt>
                <c:pt idx="5">
                  <c:v>0.95709893333333318</c:v>
                </c:pt>
                <c:pt idx="6">
                  <c:v>0.87271219999999994</c:v>
                </c:pt>
                <c:pt idx="7">
                  <c:v>0.94776126666666671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31392"/>
        <c:axId val="1236163824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2000">
                    <a:latin typeface="Helvetica" pitchFamily="2" charset="0"/>
                  </a:rPr>
                  <a:t>[DDX6]</a:t>
                </a:r>
              </a:p>
            </c:rich>
          </c:tx>
          <c:layout>
            <c:manualLayout>
              <c:xMode val="edge"/>
              <c:yMode val="edge"/>
              <c:x val="0.44733683289588799"/>
              <c:y val="0.968062445319335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 Count</a:t>
                </a:r>
                <a:endParaRPr lang="en-US" sz="2000"/>
              </a:p>
            </c:rich>
          </c:tx>
          <c:layout>
            <c:manualLayout>
              <c:xMode val="edge"/>
              <c:yMode val="edge"/>
              <c:x val="0"/>
              <c:y val="0.46228663604549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valAx>
        <c:axId val="1236163824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Area (um^2)</a:t>
                </a:r>
              </a:p>
            </c:rich>
          </c:tx>
          <c:layout>
            <c:manualLayout>
              <c:xMode val="edge"/>
              <c:yMode val="edge"/>
              <c:x val="0.96080719597550301"/>
              <c:y val="0.41092388451443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31392"/>
        <c:crosses val="max"/>
        <c:crossBetween val="midCat"/>
      </c:valAx>
      <c:valAx>
        <c:axId val="1235631392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163824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>
        <c:manualLayout>
          <c:xMode val="edge"/>
          <c:yMode val="edge"/>
          <c:x val="0.3614826115485564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77657480314961"/>
          <c:y val="4.1656277340332455E-2"/>
          <c:w val="0.8371887576552931"/>
          <c:h val="0.879551946631671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Total Area mean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ysClr val="windowText" lastClr="0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Sheet1!$R$2:$R$9</c:f>
                <c:numCache>
                  <c:formatCode>General</c:formatCode>
                  <c:ptCount val="8"/>
                  <c:pt idx="0">
                    <c:v>157.66395694742727</c:v>
                  </c:pt>
                  <c:pt idx="1">
                    <c:v>187.09206154256725</c:v>
                  </c:pt>
                  <c:pt idx="2">
                    <c:v>160.46281058833409</c:v>
                  </c:pt>
                  <c:pt idx="3">
                    <c:v>121.58861895418615</c:v>
                  </c:pt>
                  <c:pt idx="4">
                    <c:v>82.651372700363595</c:v>
                  </c:pt>
                  <c:pt idx="5">
                    <c:v>214.98748186768165</c:v>
                  </c:pt>
                  <c:pt idx="6">
                    <c:v>81.504167915931291</c:v>
                  </c:pt>
                  <c:pt idx="7">
                    <c:v>211.49582287193473</c:v>
                  </c:pt>
                </c:numCache>
              </c:numRef>
            </c:plus>
            <c:minus>
              <c:numRef>
                <c:f>Sheet1!$R$2:$R$9</c:f>
                <c:numCache>
                  <c:formatCode>General</c:formatCode>
                  <c:ptCount val="8"/>
                  <c:pt idx="0">
                    <c:v>157.66395694742727</c:v>
                  </c:pt>
                  <c:pt idx="1">
                    <c:v>187.09206154256725</c:v>
                  </c:pt>
                  <c:pt idx="2">
                    <c:v>160.46281058833409</c:v>
                  </c:pt>
                  <c:pt idx="3">
                    <c:v>121.58861895418615</c:v>
                  </c:pt>
                  <c:pt idx="4">
                    <c:v>82.651372700363595</c:v>
                  </c:pt>
                  <c:pt idx="5">
                    <c:v>214.98748186768165</c:v>
                  </c:pt>
                  <c:pt idx="6">
                    <c:v>81.504167915931291</c:v>
                  </c:pt>
                  <c:pt idx="7">
                    <c:v>211.49582287193473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xVal>
          <c:yVal>
            <c:numRef>
              <c:f>Sheet1!$N$2:$N$9</c:f>
              <c:numCache>
                <c:formatCode>General</c:formatCode>
                <c:ptCount val="8"/>
                <c:pt idx="0">
                  <c:v>1012.7494</c:v>
                </c:pt>
                <c:pt idx="1">
                  <c:v>848.83066666666673</c:v>
                </c:pt>
                <c:pt idx="2">
                  <c:v>852.31995333333327</c:v>
                </c:pt>
                <c:pt idx="3">
                  <c:v>871.94648666666671</c:v>
                </c:pt>
                <c:pt idx="4">
                  <c:v>859.18247999999994</c:v>
                </c:pt>
                <c:pt idx="5">
                  <c:v>749.24797999999998</c:v>
                </c:pt>
                <c:pt idx="6">
                  <c:v>495.97894666666667</c:v>
                </c:pt>
                <c:pt idx="7">
                  <c:v>572.46046000000013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[DDX6] (nM)</a:t>
                </a:r>
              </a:p>
            </c:rich>
          </c:tx>
          <c:layout>
            <c:manualLayout>
              <c:xMode val="edge"/>
              <c:yMode val="edge"/>
              <c:x val="0.4490268899958747"/>
              <c:y val="0.976395783959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800"/>
                  <a:t>Area (um^2)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Number of Droplets mean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Sheet1!$P$2:$P$9</c:f>
                <c:numCache>
                  <c:formatCode>General</c:formatCode>
                  <c:ptCount val="8"/>
                  <c:pt idx="0">
                    <c:v>82.895945484551845</c:v>
                  </c:pt>
                  <c:pt idx="1">
                    <c:v>80.392067049208549</c:v>
                  </c:pt>
                  <c:pt idx="2">
                    <c:v>66.30478447626885</c:v>
                  </c:pt>
                  <c:pt idx="3">
                    <c:v>61.420626285746764</c:v>
                  </c:pt>
                  <c:pt idx="4">
                    <c:v>152.9981844481967</c:v>
                  </c:pt>
                  <c:pt idx="5">
                    <c:v>110.48706309388008</c:v>
                  </c:pt>
                  <c:pt idx="6">
                    <c:v>78.6110255201732</c:v>
                  </c:pt>
                  <c:pt idx="7">
                    <c:v>112.00579350095151</c:v>
                  </c:pt>
                </c:numCache>
              </c:numRef>
            </c:plus>
            <c:minus>
              <c:numRef>
                <c:f>Sheet1!$P$2:$P$9</c:f>
                <c:numCache>
                  <c:formatCode>General</c:formatCode>
                  <c:ptCount val="8"/>
                  <c:pt idx="0">
                    <c:v>82.895945484551845</c:v>
                  </c:pt>
                  <c:pt idx="1">
                    <c:v>80.392067049208549</c:v>
                  </c:pt>
                  <c:pt idx="2">
                    <c:v>66.30478447626885</c:v>
                  </c:pt>
                  <c:pt idx="3">
                    <c:v>61.420626285746764</c:v>
                  </c:pt>
                  <c:pt idx="4">
                    <c:v>152.9981844481967</c:v>
                  </c:pt>
                  <c:pt idx="5">
                    <c:v>110.48706309388008</c:v>
                  </c:pt>
                  <c:pt idx="6">
                    <c:v>78.6110255201732</c:v>
                  </c:pt>
                  <c:pt idx="7">
                    <c:v>112.00579350095151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xVal>
          <c:yVal>
            <c:numRef>
              <c:f>Sheet1!$L$2:$L$9</c:f>
              <c:numCache>
                <c:formatCode>General</c:formatCode>
                <c:ptCount val="8"/>
                <c:pt idx="0">
                  <c:v>707.86666666666667</c:v>
                </c:pt>
                <c:pt idx="1">
                  <c:v>674.66666666666663</c:v>
                </c:pt>
                <c:pt idx="2">
                  <c:v>716.33333333333337</c:v>
                </c:pt>
                <c:pt idx="3">
                  <c:v>766.4</c:v>
                </c:pt>
                <c:pt idx="4">
                  <c:v>873.06666666666672</c:v>
                </c:pt>
                <c:pt idx="5">
                  <c:v>797.06666666666672</c:v>
                </c:pt>
                <c:pt idx="6">
                  <c:v>602.4</c:v>
                </c:pt>
                <c:pt idx="7">
                  <c:v>582.13333333333333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ED-484A-B4C7-2E2F4BB89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scatterChart>
        <c:scatterStyle val="lineMarker"/>
        <c:varyColors val="0"/>
        <c:ser>
          <c:idx val="1"/>
          <c:order val="1"/>
          <c:tx>
            <c:strRef>
              <c:f>Sheet1!$M$1</c:f>
              <c:strCache>
                <c:ptCount val="1"/>
                <c:pt idx="0">
                  <c:v>Mean Area 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Sheet1!$Q$2:$Q$9</c:f>
                <c:numCache>
                  <c:formatCode>General</c:formatCode>
                  <c:ptCount val="8"/>
                  <c:pt idx="0">
                    <c:v>6.8518255967329189E-2</c:v>
                  </c:pt>
                  <c:pt idx="1">
                    <c:v>0.12364374220363923</c:v>
                  </c:pt>
                  <c:pt idx="2">
                    <c:v>0.14869093060664854</c:v>
                  </c:pt>
                  <c:pt idx="3">
                    <c:v>0.1836571814634477</c:v>
                  </c:pt>
                  <c:pt idx="4">
                    <c:v>0.22673630383591714</c:v>
                  </c:pt>
                  <c:pt idx="5">
                    <c:v>0.24060858468002466</c:v>
                  </c:pt>
                  <c:pt idx="6">
                    <c:v>0.21277229965767019</c:v>
                  </c:pt>
                  <c:pt idx="7">
                    <c:v>0.22104529302389075</c:v>
                  </c:pt>
                </c:numCache>
              </c:numRef>
            </c:plus>
            <c:minus>
              <c:numRef>
                <c:f>Sheet1!$Q$2:$Q$9</c:f>
                <c:numCache>
                  <c:formatCode>General</c:formatCode>
                  <c:ptCount val="8"/>
                  <c:pt idx="0">
                    <c:v>6.8518255967329189E-2</c:v>
                  </c:pt>
                  <c:pt idx="1">
                    <c:v>0.12364374220363923</c:v>
                  </c:pt>
                  <c:pt idx="2">
                    <c:v>0.14869093060664854</c:v>
                  </c:pt>
                  <c:pt idx="3">
                    <c:v>0.1836571814634477</c:v>
                  </c:pt>
                  <c:pt idx="4">
                    <c:v>0.22673630383591714</c:v>
                  </c:pt>
                  <c:pt idx="5">
                    <c:v>0.24060858468002466</c:v>
                  </c:pt>
                  <c:pt idx="6">
                    <c:v>0.21277229965767019</c:v>
                  </c:pt>
                  <c:pt idx="7">
                    <c:v>0.22104529302389075</c:v>
                  </c:pt>
                </c:numCache>
              </c:numRef>
            </c:minus>
            <c:spPr>
              <a:noFill/>
              <a:ln w="19050" cap="flat" cmpd="sng" algn="ctr">
                <a:solidFill>
                  <a:sysClr val="windowText" lastClr="000000">
                    <a:lumMod val="65000"/>
                    <a:lumOff val="35000"/>
                  </a:sysClr>
                </a:solidFill>
                <a:round/>
              </a:ln>
              <a:effectLst/>
            </c:spPr>
          </c:errBars>
          <c:xVal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xVal>
          <c:yVal>
            <c:numRef>
              <c:f>Sheet1!$M$2:$M$9</c:f>
              <c:numCache>
                <c:formatCode>General</c:formatCode>
                <c:ptCount val="8"/>
                <c:pt idx="0">
                  <c:v>1.4245524666666665</c:v>
                </c:pt>
                <c:pt idx="1">
                  <c:v>1.2321212000000001</c:v>
                </c:pt>
                <c:pt idx="2">
                  <c:v>1.1815095333333334</c:v>
                </c:pt>
                <c:pt idx="3">
                  <c:v>1.1563249333333332</c:v>
                </c:pt>
                <c:pt idx="4">
                  <c:v>1.0621249999999998</c:v>
                </c:pt>
                <c:pt idx="5">
                  <c:v>0.95709893333333318</c:v>
                </c:pt>
                <c:pt idx="6">
                  <c:v>0.87271219999999994</c:v>
                </c:pt>
                <c:pt idx="7">
                  <c:v>0.94776126666666671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ED-484A-B4C7-2E2F4BB89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31392"/>
        <c:axId val="1236163824"/>
      </c:scatterChart>
      <c:valAx>
        <c:axId val="1235587760"/>
        <c:scaling>
          <c:logBase val="10"/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valAx>
        <c:axId val="1236163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31392"/>
        <c:crosses val="max"/>
        <c:crossBetween val="midCat"/>
      </c:valAx>
      <c:valAx>
        <c:axId val="1235631392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163824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383114610673667"/>
          <c:y val="3.4178331875182266E-2"/>
          <c:w val="0.79154604111985993"/>
          <c:h val="0.88484525371828526"/>
        </c:manualLayout>
      </c:layout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Number of Droplets mean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Sheet1!$P$2:$P$9</c:f>
                <c:numCache>
                  <c:formatCode>General</c:formatCode>
                  <c:ptCount val="8"/>
                  <c:pt idx="0">
                    <c:v>82.895945484551845</c:v>
                  </c:pt>
                  <c:pt idx="1">
                    <c:v>80.392067049208549</c:v>
                  </c:pt>
                  <c:pt idx="2">
                    <c:v>66.30478447626885</c:v>
                  </c:pt>
                  <c:pt idx="3">
                    <c:v>61.420626285746764</c:v>
                  </c:pt>
                  <c:pt idx="4">
                    <c:v>152.9981844481967</c:v>
                  </c:pt>
                  <c:pt idx="5">
                    <c:v>110.48706309388008</c:v>
                  </c:pt>
                  <c:pt idx="6">
                    <c:v>78.6110255201732</c:v>
                  </c:pt>
                  <c:pt idx="7">
                    <c:v>112.00579350095151</c:v>
                  </c:pt>
                </c:numCache>
              </c:numRef>
            </c:plus>
            <c:minus>
              <c:numRef>
                <c:f>Sheet1!$P$2:$P$9</c:f>
                <c:numCache>
                  <c:formatCode>General</c:formatCode>
                  <c:ptCount val="8"/>
                  <c:pt idx="0">
                    <c:v>82.895945484551845</c:v>
                  </c:pt>
                  <c:pt idx="1">
                    <c:v>80.392067049208549</c:v>
                  </c:pt>
                  <c:pt idx="2">
                    <c:v>66.30478447626885</c:v>
                  </c:pt>
                  <c:pt idx="3">
                    <c:v>61.420626285746764</c:v>
                  </c:pt>
                  <c:pt idx="4">
                    <c:v>152.9981844481967</c:v>
                  </c:pt>
                  <c:pt idx="5">
                    <c:v>110.48706309388008</c:v>
                  </c:pt>
                  <c:pt idx="6">
                    <c:v>78.6110255201732</c:v>
                  </c:pt>
                  <c:pt idx="7">
                    <c:v>112.00579350095151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cat>
          <c:val>
            <c:numRef>
              <c:f>Sheet1!$L$2:$L$9</c:f>
              <c:numCache>
                <c:formatCode>General</c:formatCode>
                <c:ptCount val="8"/>
                <c:pt idx="0">
                  <c:v>707.86666666666667</c:v>
                </c:pt>
                <c:pt idx="1">
                  <c:v>674.66666666666663</c:v>
                </c:pt>
                <c:pt idx="2">
                  <c:v>716.33333333333337</c:v>
                </c:pt>
                <c:pt idx="3">
                  <c:v>766.4</c:v>
                </c:pt>
                <c:pt idx="4">
                  <c:v>873.06666666666672</c:v>
                </c:pt>
                <c:pt idx="5">
                  <c:v>797.06666666666672</c:v>
                </c:pt>
                <c:pt idx="6">
                  <c:v>602.4</c:v>
                </c:pt>
                <c:pt idx="7">
                  <c:v>582.13333333333333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1-1841-AE14-6BF4A2FA2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587760"/>
        <c:axId val="1235512896"/>
      </c:lineChart>
      <c:lineChart>
        <c:grouping val="standard"/>
        <c:varyColors val="0"/>
        <c:ser>
          <c:idx val="1"/>
          <c:order val="1"/>
          <c:tx>
            <c:strRef>
              <c:f>Sheet1!$M$1</c:f>
              <c:strCache>
                <c:ptCount val="1"/>
                <c:pt idx="0">
                  <c:v>Mean Area mean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Sheet1!$Q$2:$Q$9</c:f>
                <c:numCache>
                  <c:formatCode>General</c:formatCode>
                  <c:ptCount val="8"/>
                  <c:pt idx="0">
                    <c:v>6.8518255967329189E-2</c:v>
                  </c:pt>
                  <c:pt idx="1">
                    <c:v>0.12364374220363923</c:v>
                  </c:pt>
                  <c:pt idx="2">
                    <c:v>0.14869093060664854</c:v>
                  </c:pt>
                  <c:pt idx="3">
                    <c:v>0.1836571814634477</c:v>
                  </c:pt>
                  <c:pt idx="4">
                    <c:v>0.22673630383591714</c:v>
                  </c:pt>
                  <c:pt idx="5">
                    <c:v>0.24060858468002466</c:v>
                  </c:pt>
                  <c:pt idx="6">
                    <c:v>0.21277229965767019</c:v>
                  </c:pt>
                  <c:pt idx="7">
                    <c:v>0.22104529302389075</c:v>
                  </c:pt>
                </c:numCache>
              </c:numRef>
            </c:plus>
            <c:minus>
              <c:numRef>
                <c:f>Sheet1!$Q$2:$Q$9</c:f>
                <c:numCache>
                  <c:formatCode>General</c:formatCode>
                  <c:ptCount val="8"/>
                  <c:pt idx="0">
                    <c:v>6.8518255967329189E-2</c:v>
                  </c:pt>
                  <c:pt idx="1">
                    <c:v>0.12364374220363923</c:v>
                  </c:pt>
                  <c:pt idx="2">
                    <c:v>0.14869093060664854</c:v>
                  </c:pt>
                  <c:pt idx="3">
                    <c:v>0.1836571814634477</c:v>
                  </c:pt>
                  <c:pt idx="4">
                    <c:v>0.22673630383591714</c:v>
                  </c:pt>
                  <c:pt idx="5">
                    <c:v>0.24060858468002466</c:v>
                  </c:pt>
                  <c:pt idx="6">
                    <c:v>0.21277229965767019</c:v>
                  </c:pt>
                  <c:pt idx="7">
                    <c:v>0.22104529302389075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</c:errBars>
          <c:cat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cat>
          <c:val>
            <c:numRef>
              <c:f>Sheet1!$M$2:$M$9</c:f>
              <c:numCache>
                <c:formatCode>General</c:formatCode>
                <c:ptCount val="8"/>
                <c:pt idx="0">
                  <c:v>1.4245524666666665</c:v>
                </c:pt>
                <c:pt idx="1">
                  <c:v>1.2321212000000001</c:v>
                </c:pt>
                <c:pt idx="2">
                  <c:v>1.1815095333333334</c:v>
                </c:pt>
                <c:pt idx="3">
                  <c:v>1.1563249333333332</c:v>
                </c:pt>
                <c:pt idx="4">
                  <c:v>1.0621249999999998</c:v>
                </c:pt>
                <c:pt idx="5">
                  <c:v>0.95709893333333318</c:v>
                </c:pt>
                <c:pt idx="6">
                  <c:v>0.87271219999999994</c:v>
                </c:pt>
                <c:pt idx="7">
                  <c:v>0.94776126666666671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51-1841-AE14-6BF4A2FA2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029632"/>
        <c:axId val="246112288"/>
      </c:lineChart>
      <c:cat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800">
                    <a:latin typeface="Helvetica" pitchFamily="2" charset="0"/>
                  </a:rPr>
                  <a:t>[DDX6]</a:t>
                </a:r>
              </a:p>
            </c:rich>
          </c:tx>
          <c:layout>
            <c:manualLayout>
              <c:xMode val="edge"/>
              <c:yMode val="edge"/>
              <c:x val="0.46122566710411195"/>
              <c:y val="0.96945592738407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auto val="1"/>
        <c:lblAlgn val="ctr"/>
        <c:lblOffset val="100"/>
        <c:noMultiLvlLbl val="0"/>
      </c:cat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 Count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0"/>
              <c:y val="0.45673108048993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between"/>
      </c:valAx>
      <c:valAx>
        <c:axId val="246112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29632"/>
        <c:crosses val="max"/>
        <c:crossBetween val="between"/>
      </c:valAx>
      <c:catAx>
        <c:axId val="763029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6112288"/>
        <c:crosses val="autoZero"/>
        <c:auto val="1"/>
        <c:lblAlgn val="ctr"/>
        <c:lblOffset val="100"/>
        <c:noMultiLvlLbl val="0"/>
      </c:cat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WT FUS + U40+ WT DDX6 Count</a:t>
            </a:r>
          </a:p>
        </c:rich>
      </c:tx>
      <c:layout>
        <c:manualLayout>
          <c:xMode val="edge"/>
          <c:yMode val="edge"/>
          <c:x val="0.17220417393627724"/>
          <c:y val="6.97527732352584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23206166130641"/>
          <c:y val="7.8693314377369483E-2"/>
          <c:w val="0.8301465287789731"/>
          <c:h val="0.794119899283092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Number of Droplets mean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Sheet1!$P$2:$P$9</c:f>
                <c:numCache>
                  <c:formatCode>General</c:formatCode>
                  <c:ptCount val="8"/>
                  <c:pt idx="0">
                    <c:v>82.895945484551845</c:v>
                  </c:pt>
                  <c:pt idx="1">
                    <c:v>80.392067049208549</c:v>
                  </c:pt>
                  <c:pt idx="2">
                    <c:v>66.30478447626885</c:v>
                  </c:pt>
                  <c:pt idx="3">
                    <c:v>61.420626285746764</c:v>
                  </c:pt>
                  <c:pt idx="4">
                    <c:v>152.9981844481967</c:v>
                  </c:pt>
                  <c:pt idx="5">
                    <c:v>110.48706309388008</c:v>
                  </c:pt>
                  <c:pt idx="6">
                    <c:v>78.6110255201732</c:v>
                  </c:pt>
                  <c:pt idx="7">
                    <c:v>112.00579350095151</c:v>
                  </c:pt>
                </c:numCache>
              </c:numRef>
            </c:plus>
            <c:minus>
              <c:numRef>
                <c:f>Sheet1!$P$2:$P$9</c:f>
                <c:numCache>
                  <c:formatCode>General</c:formatCode>
                  <c:ptCount val="8"/>
                  <c:pt idx="0">
                    <c:v>82.895945484551845</c:v>
                  </c:pt>
                  <c:pt idx="1">
                    <c:v>80.392067049208549</c:v>
                  </c:pt>
                  <c:pt idx="2">
                    <c:v>66.30478447626885</c:v>
                  </c:pt>
                  <c:pt idx="3">
                    <c:v>61.420626285746764</c:v>
                  </c:pt>
                  <c:pt idx="4">
                    <c:v>152.9981844481967</c:v>
                  </c:pt>
                  <c:pt idx="5">
                    <c:v>110.48706309388008</c:v>
                  </c:pt>
                  <c:pt idx="6">
                    <c:v>78.6110255201732</c:v>
                  </c:pt>
                  <c:pt idx="7">
                    <c:v>112.00579350095151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xVal>
          <c:yVal>
            <c:numRef>
              <c:f>Sheet1!$L$2:$L$9</c:f>
              <c:numCache>
                <c:formatCode>General</c:formatCode>
                <c:ptCount val="8"/>
                <c:pt idx="0">
                  <c:v>707.86666666666667</c:v>
                </c:pt>
                <c:pt idx="1">
                  <c:v>674.66666666666663</c:v>
                </c:pt>
                <c:pt idx="2">
                  <c:v>716.33333333333337</c:v>
                </c:pt>
                <c:pt idx="3">
                  <c:v>766.4</c:v>
                </c:pt>
                <c:pt idx="4">
                  <c:v>873.06666666666672</c:v>
                </c:pt>
                <c:pt idx="5">
                  <c:v>797.06666666666672</c:v>
                </c:pt>
                <c:pt idx="6">
                  <c:v>602.4</c:v>
                </c:pt>
                <c:pt idx="7">
                  <c:v>582.13333333333333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DDX6 (nM)</a:t>
                </a:r>
                <a:endParaRPr lang="en-US" sz="2000"/>
              </a:p>
            </c:rich>
          </c:tx>
          <c:layout>
            <c:manualLayout>
              <c:xMode val="edge"/>
              <c:yMode val="edge"/>
              <c:x val="0.43479924251813007"/>
              <c:y val="0.947007308435730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WT FUS + U40+ WT DDX6 Area</a:t>
            </a:r>
          </a:p>
        </c:rich>
      </c:tx>
      <c:layout>
        <c:manualLayout>
          <c:xMode val="edge"/>
          <c:yMode val="edge"/>
          <c:x val="0.17220417393627724"/>
          <c:y val="6.97527732352584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77657480314961"/>
          <c:y val="7.8693314377369483E-2"/>
          <c:w val="0.8371887576552931"/>
          <c:h val="0.794119899283092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Mean Area 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ysClr val="windowText" lastClr="0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Sheet1!$Q$2:$Q$9</c:f>
                <c:numCache>
                  <c:formatCode>General</c:formatCode>
                  <c:ptCount val="8"/>
                  <c:pt idx="0">
                    <c:v>6.8518255967329189E-2</c:v>
                  </c:pt>
                  <c:pt idx="1">
                    <c:v>0.12364374220363923</c:v>
                  </c:pt>
                  <c:pt idx="2">
                    <c:v>0.14869093060664854</c:v>
                  </c:pt>
                  <c:pt idx="3">
                    <c:v>0.1836571814634477</c:v>
                  </c:pt>
                  <c:pt idx="4">
                    <c:v>0.22673630383591714</c:v>
                  </c:pt>
                  <c:pt idx="5">
                    <c:v>0.24060858468002466</c:v>
                  </c:pt>
                  <c:pt idx="6">
                    <c:v>0.21277229965767019</c:v>
                  </c:pt>
                  <c:pt idx="7">
                    <c:v>0.22104529302389075</c:v>
                  </c:pt>
                </c:numCache>
              </c:numRef>
            </c:plus>
            <c:minus>
              <c:numRef>
                <c:f>Sheet1!$Q$2:$Q$9</c:f>
                <c:numCache>
                  <c:formatCode>General</c:formatCode>
                  <c:ptCount val="8"/>
                  <c:pt idx="0">
                    <c:v>6.8518255967329189E-2</c:v>
                  </c:pt>
                  <c:pt idx="1">
                    <c:v>0.12364374220363923</c:v>
                  </c:pt>
                  <c:pt idx="2">
                    <c:v>0.14869093060664854</c:v>
                  </c:pt>
                  <c:pt idx="3">
                    <c:v>0.1836571814634477</c:v>
                  </c:pt>
                  <c:pt idx="4">
                    <c:v>0.22673630383591714</c:v>
                  </c:pt>
                  <c:pt idx="5">
                    <c:v>0.24060858468002466</c:v>
                  </c:pt>
                  <c:pt idx="6">
                    <c:v>0.21277229965767019</c:v>
                  </c:pt>
                  <c:pt idx="7">
                    <c:v>0.22104529302389075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xVal>
          <c:yVal>
            <c:numRef>
              <c:f>Sheet1!$M$2:$M$9</c:f>
              <c:numCache>
                <c:formatCode>General</c:formatCode>
                <c:ptCount val="8"/>
                <c:pt idx="0">
                  <c:v>1.4245524666666665</c:v>
                </c:pt>
                <c:pt idx="1">
                  <c:v>1.2321212000000001</c:v>
                </c:pt>
                <c:pt idx="2">
                  <c:v>1.1815095333333334</c:v>
                </c:pt>
                <c:pt idx="3">
                  <c:v>1.1563249333333332</c:v>
                </c:pt>
                <c:pt idx="4">
                  <c:v>1.0621249999999998</c:v>
                </c:pt>
                <c:pt idx="5">
                  <c:v>0.95709893333333318</c:v>
                </c:pt>
                <c:pt idx="6">
                  <c:v>0.87271219999999994</c:v>
                </c:pt>
                <c:pt idx="7">
                  <c:v>0.94776126666666671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DC-2C42-9ED3-840B87B9C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DDX6</a:t>
                </a:r>
                <a:endParaRPr lang="en-US" sz="2000"/>
              </a:p>
            </c:rich>
          </c:tx>
          <c:layout>
            <c:manualLayout>
              <c:xMode val="edge"/>
              <c:yMode val="edge"/>
              <c:x val="0.4490268899958747"/>
              <c:y val="0.976395783959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WT FUS + U40+ WT DDX6 Total Area</a:t>
            </a:r>
          </a:p>
        </c:rich>
      </c:tx>
      <c:layout>
        <c:manualLayout>
          <c:xMode val="edge"/>
          <c:yMode val="edge"/>
          <c:x val="0.1455273462690041"/>
          <c:y val="1.1584331538342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77657480314961"/>
          <c:y val="7.8693314377369483E-2"/>
          <c:w val="0.8371887576552931"/>
          <c:h val="0.794119899283092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Total Area 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ysClr val="window" lastClr="FFFFFF"/>
              </a:solidFill>
              <a:ln w="19050">
                <a:solidFill>
                  <a:sysClr val="windowText" lastClr="0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Sheet1!$R$2:$R$9</c:f>
                <c:numCache>
                  <c:formatCode>General</c:formatCode>
                  <c:ptCount val="8"/>
                  <c:pt idx="0">
                    <c:v>157.66395694742727</c:v>
                  </c:pt>
                  <c:pt idx="1">
                    <c:v>187.09206154256725</c:v>
                  </c:pt>
                  <c:pt idx="2">
                    <c:v>160.46281058833409</c:v>
                  </c:pt>
                  <c:pt idx="3">
                    <c:v>121.58861895418615</c:v>
                  </c:pt>
                  <c:pt idx="4">
                    <c:v>82.651372700363595</c:v>
                  </c:pt>
                  <c:pt idx="5">
                    <c:v>214.98748186768165</c:v>
                  </c:pt>
                  <c:pt idx="6">
                    <c:v>81.504167915931291</c:v>
                  </c:pt>
                  <c:pt idx="7">
                    <c:v>211.49582287193473</c:v>
                  </c:pt>
                </c:numCache>
              </c:numRef>
            </c:plus>
            <c:minus>
              <c:numRef>
                <c:f>Sheet1!$R$2:$R$9</c:f>
                <c:numCache>
                  <c:formatCode>General</c:formatCode>
                  <c:ptCount val="8"/>
                  <c:pt idx="0">
                    <c:v>157.66395694742727</c:v>
                  </c:pt>
                  <c:pt idx="1">
                    <c:v>187.09206154256725</c:v>
                  </c:pt>
                  <c:pt idx="2">
                    <c:v>160.46281058833409</c:v>
                  </c:pt>
                  <c:pt idx="3">
                    <c:v>121.58861895418615</c:v>
                  </c:pt>
                  <c:pt idx="4">
                    <c:v>82.651372700363595</c:v>
                  </c:pt>
                  <c:pt idx="5">
                    <c:v>214.98748186768165</c:v>
                  </c:pt>
                  <c:pt idx="6">
                    <c:v>81.504167915931291</c:v>
                  </c:pt>
                  <c:pt idx="7">
                    <c:v>211.49582287193473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xVal>
          <c:yVal>
            <c:numRef>
              <c:f>Sheet1!$N$2:$N$9</c:f>
              <c:numCache>
                <c:formatCode>General</c:formatCode>
                <c:ptCount val="8"/>
                <c:pt idx="0">
                  <c:v>1012.7494</c:v>
                </c:pt>
                <c:pt idx="1">
                  <c:v>848.83066666666673</c:v>
                </c:pt>
                <c:pt idx="2">
                  <c:v>852.31995333333327</c:v>
                </c:pt>
                <c:pt idx="3">
                  <c:v>871.94648666666671</c:v>
                </c:pt>
                <c:pt idx="4">
                  <c:v>859.18247999999994</c:v>
                </c:pt>
                <c:pt idx="5">
                  <c:v>749.24797999999998</c:v>
                </c:pt>
                <c:pt idx="6">
                  <c:v>495.97894666666667</c:v>
                </c:pt>
                <c:pt idx="7">
                  <c:v>572.46046000000013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90-C74A-8BA4-7D4C69CF3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DDX6</a:t>
                </a:r>
                <a:endParaRPr lang="en-US" sz="2000"/>
              </a:p>
            </c:rich>
          </c:tx>
          <c:layout>
            <c:manualLayout>
              <c:xMode val="edge"/>
              <c:yMode val="edge"/>
              <c:x val="0.4490268899958747"/>
              <c:y val="0.976395783959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Area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200475</xdr:colOff>
      <xdr:row>13</xdr:row>
      <xdr:rowOff>97063</xdr:rowOff>
    </xdr:from>
    <xdr:to>
      <xdr:col>18</xdr:col>
      <xdr:colOff>778337</xdr:colOff>
      <xdr:row>40</xdr:row>
      <xdr:rowOff>72570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AE06A-AC45-EC85-1290-E7C93707796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23060</xdr:colOff>
      <xdr:row>13</xdr:row>
      <xdr:rowOff>90570</xdr:rowOff>
    </xdr:from>
    <xdr:to>
      <xdr:col>27</xdr:col>
      <xdr:colOff>632660</xdr:colOff>
      <xdr:row>40</xdr:row>
      <xdr:rowOff>90570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D85AF6-228E-74A2-1C9F-4CA804491B2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414994</xdr:colOff>
      <xdr:row>13</xdr:row>
      <xdr:rowOff>113669</xdr:rowOff>
    </xdr:from>
    <xdr:to>
      <xdr:col>10</xdr:col>
      <xdr:colOff>186394</xdr:colOff>
      <xdr:row>40</xdr:row>
      <xdr:rowOff>113669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9349E-D071-7DB9-D4BE-FDB146EA8D2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85</xdr:row>
      <xdr:rowOff>0</xdr:rowOff>
    </xdr:from>
    <xdr:to>
      <xdr:col>45</xdr:col>
      <xdr:colOff>25400</xdr:colOff>
      <xdr:row>132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9618CA-3AD0-0447-B36D-C7A3F4B49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177800</xdr:colOff>
      <xdr:row>46</xdr:row>
      <xdr:rowOff>152400</xdr:rowOff>
    </xdr:from>
    <xdr:to>
      <xdr:col>14</xdr:col>
      <xdr:colOff>787400</xdr:colOff>
      <xdr:row>73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5DE6AC-3D77-BC1F-10BC-B4EF1DC3156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46</xdr:row>
      <xdr:rowOff>136071</xdr:rowOff>
    </xdr:from>
    <xdr:to>
      <xdr:col>23</xdr:col>
      <xdr:colOff>609601</xdr:colOff>
      <xdr:row>73</xdr:row>
      <xdr:rowOff>136071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FF3594-B8B8-2F4F-AEDC-9E65ECCB2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657678</xdr:colOff>
      <xdr:row>46</xdr:row>
      <xdr:rowOff>113392</xdr:rowOff>
    </xdr:from>
    <xdr:to>
      <xdr:col>32</xdr:col>
      <xdr:colOff>454660</xdr:colOff>
      <xdr:row>73</xdr:row>
      <xdr:rowOff>116332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CB84FF-A0DE-8E4E-BE74-527D6041F4A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507B-919A-6C43-8C43-22FDCDF1F5B7}">
  <dimension ref="A1:R9"/>
  <sheetViews>
    <sheetView tabSelected="1" zoomScale="50" workbookViewId="0">
      <selection activeCell="E56" sqref="E56"/>
    </sheetView>
  </sheetViews>
  <sheetFormatPr baseColWidth="10" defaultRowHeight="16" x14ac:dyDescent="0.2"/>
  <cols>
    <col min="1" max="1" width="7.5" customWidth="1"/>
    <col min="2" max="2" width="19.6640625" bestFit="1" customWidth="1"/>
    <col min="3" max="3" width="12.33203125" bestFit="1" customWidth="1"/>
    <col min="4" max="4" width="11.83203125" bestFit="1" customWidth="1"/>
    <col min="5" max="5" width="19.6640625" bestFit="1" customWidth="1"/>
    <col min="6" max="6" width="12.33203125" bestFit="1" customWidth="1"/>
    <col min="7" max="7" width="11.83203125" bestFit="1" customWidth="1"/>
    <col min="8" max="8" width="19.6640625" bestFit="1" customWidth="1"/>
    <col min="9" max="9" width="12.33203125" bestFit="1" customWidth="1"/>
    <col min="10" max="10" width="11.83203125" bestFit="1" customWidth="1"/>
    <col min="12" max="12" width="22.83203125" bestFit="1" customWidth="1"/>
    <col min="13" max="13" width="15.33203125" bestFit="1" customWidth="1"/>
    <col min="14" max="14" width="14.83203125" bestFit="1" customWidth="1"/>
    <col min="16" max="16" width="21.83203125" bestFit="1" customWidth="1"/>
    <col min="17" max="17" width="14.83203125" bestFit="1" customWidth="1"/>
    <col min="18" max="18" width="14.33203125" bestFit="1" customWidth="1"/>
  </cols>
  <sheetData>
    <row r="1" spans="1:18" x14ac:dyDescent="0.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1" t="s">
        <v>10</v>
      </c>
      <c r="M1" s="1" t="s">
        <v>11</v>
      </c>
      <c r="N1" s="1" t="s">
        <v>12</v>
      </c>
      <c r="P1" s="1" t="s">
        <v>13</v>
      </c>
      <c r="Q1" s="1" t="s">
        <v>14</v>
      </c>
      <c r="R1" s="1" t="s">
        <v>15</v>
      </c>
    </row>
    <row r="2" spans="1:18" x14ac:dyDescent="0.2">
      <c r="A2">
        <v>1</v>
      </c>
      <c r="B2">
        <v>561.6</v>
      </c>
      <c r="C2">
        <v>1.409022</v>
      </c>
      <c r="D2">
        <v>785.39369999999997</v>
      </c>
      <c r="E2">
        <v>713.4</v>
      </c>
      <c r="F2">
        <v>1.3144051999999999</v>
      </c>
      <c r="G2">
        <v>937.20302000000015</v>
      </c>
      <c r="H2">
        <v>848.6</v>
      </c>
      <c r="I2">
        <v>1.5502301999999999</v>
      </c>
      <c r="J2">
        <v>1315.65148</v>
      </c>
      <c r="L2">
        <f t="shared" ref="L2:N9" si="0" xml:space="preserve"> AVERAGE(B2,E2,H2)</f>
        <v>707.86666666666667</v>
      </c>
      <c r="M2">
        <f t="shared" si="0"/>
        <v>1.4245524666666665</v>
      </c>
      <c r="N2">
        <f t="shared" si="0"/>
        <v>1012.7494</v>
      </c>
      <c r="P2">
        <f t="shared" ref="P2:R9" si="1" xml:space="preserve"> (STDEV(B2,E2,H2)/(SQRT(3)))</f>
        <v>82.895945484551845</v>
      </c>
      <c r="Q2">
        <f t="shared" si="1"/>
        <v>6.8518255967329189E-2</v>
      </c>
      <c r="R2">
        <f t="shared" si="1"/>
        <v>157.66395694742727</v>
      </c>
    </row>
    <row r="3" spans="1:18" x14ac:dyDescent="0.2">
      <c r="A3">
        <v>25</v>
      </c>
      <c r="B3">
        <v>590.79999999999995</v>
      </c>
      <c r="C3">
        <v>1.0311946000000001</v>
      </c>
      <c r="D3">
        <v>609.26190000000008</v>
      </c>
      <c r="E3">
        <v>597.79999999999995</v>
      </c>
      <c r="F3">
        <v>1.2077458000000001</v>
      </c>
      <c r="G3">
        <v>719.68650000000002</v>
      </c>
      <c r="H3">
        <v>835.4</v>
      </c>
      <c r="I3">
        <v>1.4574232</v>
      </c>
      <c r="J3">
        <v>1217.5436</v>
      </c>
      <c r="L3">
        <f t="shared" si="0"/>
        <v>674.66666666666663</v>
      </c>
      <c r="M3">
        <f t="shared" si="0"/>
        <v>1.2321212000000001</v>
      </c>
      <c r="N3">
        <f t="shared" si="0"/>
        <v>848.83066666666673</v>
      </c>
      <c r="P3">
        <f t="shared" si="1"/>
        <v>80.392067049208549</v>
      </c>
      <c r="Q3">
        <f t="shared" si="1"/>
        <v>0.12364374220363923</v>
      </c>
      <c r="R3">
        <f t="shared" si="1"/>
        <v>187.09206154256725</v>
      </c>
    </row>
    <row r="4" spans="1:18" x14ac:dyDescent="0.2">
      <c r="A4">
        <v>50</v>
      </c>
      <c r="B4">
        <v>738</v>
      </c>
      <c r="C4">
        <v>0.9173079999999999</v>
      </c>
      <c r="D4">
        <v>676.6422</v>
      </c>
      <c r="E4">
        <v>592.20000000000005</v>
      </c>
      <c r="F4">
        <v>1.1953938</v>
      </c>
      <c r="G4">
        <v>707.56920000000002</v>
      </c>
      <c r="H4">
        <v>818.8</v>
      </c>
      <c r="I4">
        <v>1.4318268000000001</v>
      </c>
      <c r="J4">
        <v>1172.74846</v>
      </c>
      <c r="L4">
        <f t="shared" si="0"/>
        <v>716.33333333333337</v>
      </c>
      <c r="M4">
        <f t="shared" si="0"/>
        <v>1.1815095333333334</v>
      </c>
      <c r="N4">
        <f t="shared" si="0"/>
        <v>852.31995333333327</v>
      </c>
      <c r="P4">
        <f t="shared" si="1"/>
        <v>66.30478447626885</v>
      </c>
      <c r="Q4">
        <f t="shared" si="1"/>
        <v>0.14869093060664854</v>
      </c>
      <c r="R4">
        <f t="shared" si="1"/>
        <v>160.46281058833409</v>
      </c>
    </row>
    <row r="5" spans="1:18" x14ac:dyDescent="0.2">
      <c r="A5">
        <v>100</v>
      </c>
      <c r="B5">
        <v>859.8</v>
      </c>
      <c r="C5">
        <v>0.79480620000000013</v>
      </c>
      <c r="D5">
        <v>683.30417999999997</v>
      </c>
      <c r="E5">
        <v>650.6</v>
      </c>
      <c r="F5">
        <v>1.280799</v>
      </c>
      <c r="G5">
        <v>833.36941999999999</v>
      </c>
      <c r="H5">
        <v>788.8</v>
      </c>
      <c r="I5">
        <v>1.3933696</v>
      </c>
      <c r="J5">
        <v>1099.1658600000001</v>
      </c>
      <c r="L5">
        <f t="shared" si="0"/>
        <v>766.4</v>
      </c>
      <c r="M5">
        <f t="shared" si="0"/>
        <v>1.1563249333333332</v>
      </c>
      <c r="N5">
        <f t="shared" si="0"/>
        <v>871.94648666666671</v>
      </c>
      <c r="P5">
        <f t="shared" si="1"/>
        <v>61.420626285746764</v>
      </c>
      <c r="Q5">
        <f t="shared" si="1"/>
        <v>0.1836571814634477</v>
      </c>
      <c r="R5">
        <f t="shared" si="1"/>
        <v>121.58861895418615</v>
      </c>
    </row>
    <row r="6" spans="1:18" x14ac:dyDescent="0.2">
      <c r="A6">
        <v>250</v>
      </c>
      <c r="B6">
        <v>1172.4000000000001</v>
      </c>
      <c r="C6">
        <v>0.60867579999999999</v>
      </c>
      <c r="D6">
        <v>713.68024000000003</v>
      </c>
      <c r="E6">
        <v>668.4</v>
      </c>
      <c r="F6">
        <v>1.2928397999999999</v>
      </c>
      <c r="G6">
        <v>863.99559999999997</v>
      </c>
      <c r="H6">
        <v>778.4</v>
      </c>
      <c r="I6">
        <v>1.2848593999999998</v>
      </c>
      <c r="J6">
        <v>999.87160000000006</v>
      </c>
      <c r="L6">
        <f t="shared" si="0"/>
        <v>873.06666666666672</v>
      </c>
      <c r="M6">
        <f t="shared" si="0"/>
        <v>1.0621249999999998</v>
      </c>
      <c r="N6">
        <f t="shared" si="0"/>
        <v>859.18247999999994</v>
      </c>
      <c r="P6">
        <f t="shared" si="1"/>
        <v>152.9981844481967</v>
      </c>
      <c r="Q6">
        <f t="shared" si="1"/>
        <v>0.22673630383591714</v>
      </c>
      <c r="R6">
        <f t="shared" si="1"/>
        <v>82.651372700363595</v>
      </c>
    </row>
    <row r="7" spans="1:18" x14ac:dyDescent="0.2">
      <c r="A7">
        <v>500</v>
      </c>
      <c r="B7">
        <v>858.2</v>
      </c>
      <c r="C7">
        <v>0.4760064</v>
      </c>
      <c r="D7">
        <v>408.67579999999998</v>
      </c>
      <c r="E7">
        <v>582.6</v>
      </c>
      <c r="F7">
        <v>1.1881607999999999</v>
      </c>
      <c r="G7">
        <v>692.23075999999992</v>
      </c>
      <c r="H7">
        <v>950.4</v>
      </c>
      <c r="I7">
        <v>1.2071296</v>
      </c>
      <c r="J7">
        <v>1146.8373799999999</v>
      </c>
      <c r="L7">
        <f t="shared" si="0"/>
        <v>797.06666666666672</v>
      </c>
      <c r="M7">
        <f t="shared" si="0"/>
        <v>0.95709893333333318</v>
      </c>
      <c r="N7">
        <f t="shared" si="0"/>
        <v>749.24797999999998</v>
      </c>
      <c r="P7">
        <f t="shared" si="1"/>
        <v>110.48706309388008</v>
      </c>
      <c r="Q7">
        <f t="shared" si="1"/>
        <v>0.24060858468002466</v>
      </c>
      <c r="R7">
        <f t="shared" si="1"/>
        <v>214.98748186768165</v>
      </c>
    </row>
    <row r="8" spans="1:18" x14ac:dyDescent="0.2">
      <c r="A8">
        <v>1000</v>
      </c>
      <c r="B8">
        <v>759</v>
      </c>
      <c r="C8">
        <v>0.46876319999999999</v>
      </c>
      <c r="D8">
        <v>355.72472000000005</v>
      </c>
      <c r="E8">
        <v>536.20000000000005</v>
      </c>
      <c r="F8">
        <v>1.1905964</v>
      </c>
      <c r="G8">
        <v>638.04597999999999</v>
      </c>
      <c r="H8">
        <v>512</v>
      </c>
      <c r="I8">
        <v>0.95877699999999988</v>
      </c>
      <c r="J8">
        <v>494.16613999999998</v>
      </c>
      <c r="L8">
        <f t="shared" si="0"/>
        <v>602.4</v>
      </c>
      <c r="M8">
        <f t="shared" si="0"/>
        <v>0.87271219999999994</v>
      </c>
      <c r="N8">
        <f t="shared" si="0"/>
        <v>495.97894666666667</v>
      </c>
      <c r="P8">
        <f t="shared" si="1"/>
        <v>78.6110255201732</v>
      </c>
      <c r="Q8">
        <f t="shared" si="1"/>
        <v>0.21277229965767019</v>
      </c>
      <c r="R8">
        <f t="shared" si="1"/>
        <v>81.504167915931291</v>
      </c>
    </row>
    <row r="9" spans="1:18" x14ac:dyDescent="0.2">
      <c r="A9">
        <v>2500</v>
      </c>
      <c r="B9">
        <v>505.2</v>
      </c>
      <c r="C9">
        <v>0.50958940000000008</v>
      </c>
      <c r="D9">
        <v>257.35658000000001</v>
      </c>
      <c r="E9">
        <v>438.4</v>
      </c>
      <c r="F9">
        <v>1.1159833999999997</v>
      </c>
      <c r="G9">
        <v>485.62826000000007</v>
      </c>
      <c r="H9">
        <v>802.8</v>
      </c>
      <c r="I9">
        <v>1.217711</v>
      </c>
      <c r="J9">
        <v>974.39654000000007</v>
      </c>
      <c r="L9">
        <f t="shared" si="0"/>
        <v>582.13333333333333</v>
      </c>
      <c r="M9">
        <f t="shared" si="0"/>
        <v>0.94776126666666671</v>
      </c>
      <c r="N9">
        <f t="shared" si="0"/>
        <v>572.46046000000013</v>
      </c>
      <c r="P9">
        <f t="shared" si="1"/>
        <v>112.00579350095151</v>
      </c>
      <c r="Q9">
        <f t="shared" si="1"/>
        <v>0.22104529302389075</v>
      </c>
      <c r="R9">
        <f t="shared" si="1"/>
        <v>211.49582287193473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Gemechu Mekonnen</dc:creator>
  <cp:lastModifiedBy>Gemechu Mekonnen</cp:lastModifiedBy>
  <dcterms:created xsi:type="dcterms:W3CDTF">2023-11-27T19:25:48Z</dcterms:created>
  <dcterms:modified xsi:type="dcterms:W3CDTF">2024-01-26T16:45:03Z</dcterms:modified>
</cp:coreProperties>
</file>