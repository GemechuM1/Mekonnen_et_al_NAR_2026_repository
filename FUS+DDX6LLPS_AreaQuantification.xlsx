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Rhine\Dropbox\JHU\Research\DDX6 Paper\"/>
    </mc:Choice>
  </mc:AlternateContent>
  <xr:revisionPtr revIDLastSave="0" documentId="13_ncr:1_{20114C7D-6D23-4F09-9D40-A63923100F35}" xr6:coauthVersionLast="47" xr6:coauthVersionMax="47" xr10:uidLastSave="{00000000-0000-0000-0000-000000000000}"/>
  <bookViews>
    <workbookView xWindow="-108" yWindow="-108" windowWidth="23256" windowHeight="12576" activeTab="1" xr2:uid="{57B9D074-EE2E-4772-B21C-A48620CEF6DC}"/>
  </bookViews>
  <sheets>
    <sheet name="Summary" sheetId="2" r:id="rId1"/>
    <sheet name="Figure Panels" sheetId="3" r:id="rId2"/>
    <sheet name="Imported Dat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2" i="2"/>
  <c r="A9" i="2"/>
  <c r="A8" i="2"/>
  <c r="A7" i="2"/>
  <c r="A6" i="2"/>
  <c r="A5" i="2"/>
  <c r="A4" i="2"/>
  <c r="A3" i="2"/>
  <c r="A2" i="2"/>
  <c r="P99" i="1"/>
  <c r="P100" i="1" s="1"/>
  <c r="O99" i="1"/>
  <c r="O100" i="1" s="1"/>
  <c r="N99" i="1"/>
  <c r="N100" i="1" s="1"/>
  <c r="M99" i="1"/>
  <c r="M100" i="1" s="1"/>
  <c r="L99" i="1"/>
  <c r="L100" i="1" s="1"/>
  <c r="K99" i="1"/>
  <c r="K100" i="1" s="1"/>
  <c r="J99" i="1"/>
  <c r="J100" i="1" s="1"/>
  <c r="I99" i="1"/>
  <c r="I100" i="1" s="1"/>
  <c r="H99" i="1"/>
  <c r="H100" i="1" s="1"/>
  <c r="G99" i="1"/>
  <c r="G100" i="1" s="1"/>
  <c r="F99" i="1"/>
  <c r="F100" i="1" s="1"/>
  <c r="E99" i="1"/>
  <c r="E100" i="1" s="1"/>
  <c r="D99" i="1"/>
  <c r="D100" i="1" s="1"/>
  <c r="C99" i="1"/>
  <c r="C100" i="1" s="1"/>
  <c r="B99" i="1"/>
  <c r="B100" i="1" s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B9" i="2" s="1"/>
  <c r="G9" i="2" s="1"/>
  <c r="C98" i="1"/>
  <c r="D9" i="2" s="1"/>
  <c r="B98" i="1"/>
  <c r="M89" i="1"/>
  <c r="L89" i="1"/>
  <c r="G89" i="1"/>
  <c r="P88" i="1"/>
  <c r="P89" i="1" s="1"/>
  <c r="O88" i="1"/>
  <c r="O89" i="1" s="1"/>
  <c r="N88" i="1"/>
  <c r="N89" i="1" s="1"/>
  <c r="M88" i="1"/>
  <c r="L88" i="1"/>
  <c r="K88" i="1"/>
  <c r="K89" i="1" s="1"/>
  <c r="J88" i="1"/>
  <c r="J89" i="1" s="1"/>
  <c r="I88" i="1"/>
  <c r="I89" i="1" s="1"/>
  <c r="H88" i="1"/>
  <c r="H89" i="1" s="1"/>
  <c r="G88" i="1"/>
  <c r="F88" i="1"/>
  <c r="F89" i="1" s="1"/>
  <c r="E88" i="1"/>
  <c r="E89" i="1" s="1"/>
  <c r="D88" i="1"/>
  <c r="D89" i="1" s="1"/>
  <c r="C88" i="1"/>
  <c r="C89" i="1" s="1"/>
  <c r="B88" i="1"/>
  <c r="B89" i="1" s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N78" i="1"/>
  <c r="M78" i="1"/>
  <c r="L78" i="1"/>
  <c r="B78" i="1"/>
  <c r="P77" i="1"/>
  <c r="P78" i="1" s="1"/>
  <c r="O77" i="1"/>
  <c r="O78" i="1" s="1"/>
  <c r="N77" i="1"/>
  <c r="M77" i="1"/>
  <c r="L77" i="1"/>
  <c r="K77" i="1"/>
  <c r="K78" i="1" s="1"/>
  <c r="J77" i="1"/>
  <c r="J78" i="1" s="1"/>
  <c r="I77" i="1"/>
  <c r="I78" i="1" s="1"/>
  <c r="H77" i="1"/>
  <c r="H78" i="1" s="1"/>
  <c r="G77" i="1"/>
  <c r="G78" i="1" s="1"/>
  <c r="F77" i="1"/>
  <c r="F78" i="1" s="1"/>
  <c r="E77" i="1"/>
  <c r="E78" i="1" s="1"/>
  <c r="D77" i="1"/>
  <c r="D78" i="1" s="1"/>
  <c r="C77" i="1"/>
  <c r="C78" i="1" s="1"/>
  <c r="B77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B8" i="2" s="1"/>
  <c r="C76" i="1"/>
  <c r="D8" i="2" s="1"/>
  <c r="B76" i="1"/>
  <c r="M67" i="1"/>
  <c r="L67" i="1"/>
  <c r="B67" i="1"/>
  <c r="P66" i="1"/>
  <c r="P67" i="1" s="1"/>
  <c r="O66" i="1"/>
  <c r="O67" i="1" s="1"/>
  <c r="N66" i="1"/>
  <c r="N67" i="1" s="1"/>
  <c r="M66" i="1"/>
  <c r="L66" i="1"/>
  <c r="K66" i="1"/>
  <c r="K67" i="1" s="1"/>
  <c r="J66" i="1"/>
  <c r="J67" i="1" s="1"/>
  <c r="I66" i="1"/>
  <c r="I67" i="1" s="1"/>
  <c r="H66" i="1"/>
  <c r="H67" i="1" s="1"/>
  <c r="G66" i="1"/>
  <c r="G67" i="1" s="1"/>
  <c r="F66" i="1"/>
  <c r="F67" i="1" s="1"/>
  <c r="E66" i="1"/>
  <c r="E67" i="1" s="1"/>
  <c r="D66" i="1"/>
  <c r="D67" i="1" s="1"/>
  <c r="C66" i="1"/>
  <c r="C67" i="1" s="1"/>
  <c r="B66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B7" i="2" s="1"/>
  <c r="G7" i="2" s="1"/>
  <c r="C65" i="1"/>
  <c r="D7" i="2" s="1"/>
  <c r="B65" i="1"/>
  <c r="N56" i="1"/>
  <c r="M56" i="1"/>
  <c r="L56" i="1"/>
  <c r="B56" i="1"/>
  <c r="P55" i="1"/>
  <c r="P56" i="1" s="1"/>
  <c r="O55" i="1"/>
  <c r="O56" i="1" s="1"/>
  <c r="N55" i="1"/>
  <c r="M55" i="1"/>
  <c r="L55" i="1"/>
  <c r="K55" i="1"/>
  <c r="K56" i="1" s="1"/>
  <c r="J55" i="1"/>
  <c r="J56" i="1" s="1"/>
  <c r="I55" i="1"/>
  <c r="I56" i="1" s="1"/>
  <c r="H55" i="1"/>
  <c r="H56" i="1" s="1"/>
  <c r="G55" i="1"/>
  <c r="G56" i="1" s="1"/>
  <c r="F55" i="1"/>
  <c r="F56" i="1" s="1"/>
  <c r="E55" i="1"/>
  <c r="E56" i="1" s="1"/>
  <c r="D55" i="1"/>
  <c r="D56" i="1" s="1"/>
  <c r="C55" i="1"/>
  <c r="C56" i="1" s="1"/>
  <c r="B55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B6" i="2" s="1"/>
  <c r="G6" i="2" s="1"/>
  <c r="C54" i="1"/>
  <c r="D6" i="2" s="1"/>
  <c r="B54" i="1"/>
  <c r="N45" i="1"/>
  <c r="M45" i="1"/>
  <c r="L45" i="1"/>
  <c r="H45" i="1"/>
  <c r="B45" i="1"/>
  <c r="P44" i="1"/>
  <c r="P45" i="1" s="1"/>
  <c r="O44" i="1"/>
  <c r="O45" i="1" s="1"/>
  <c r="N44" i="1"/>
  <c r="M44" i="1"/>
  <c r="L44" i="1"/>
  <c r="K44" i="1"/>
  <c r="K45" i="1" s="1"/>
  <c r="J44" i="1"/>
  <c r="J45" i="1" s="1"/>
  <c r="I44" i="1"/>
  <c r="I45" i="1" s="1"/>
  <c r="H44" i="1"/>
  <c r="G44" i="1"/>
  <c r="G45" i="1" s="1"/>
  <c r="F44" i="1"/>
  <c r="F45" i="1" s="1"/>
  <c r="E44" i="1"/>
  <c r="E45" i="1" s="1"/>
  <c r="D44" i="1"/>
  <c r="D45" i="1" s="1"/>
  <c r="C44" i="1"/>
  <c r="C45" i="1" s="1"/>
  <c r="B44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B5" i="2" s="1"/>
  <c r="C43" i="1"/>
  <c r="D5" i="2" s="1"/>
  <c r="B43" i="1"/>
  <c r="N34" i="1"/>
  <c r="L34" i="1"/>
  <c r="P33" i="1"/>
  <c r="P34" i="1" s="1"/>
  <c r="O33" i="1"/>
  <c r="O34" i="1" s="1"/>
  <c r="N33" i="1"/>
  <c r="M33" i="1"/>
  <c r="M34" i="1" s="1"/>
  <c r="L33" i="1"/>
  <c r="K33" i="1"/>
  <c r="K34" i="1" s="1"/>
  <c r="J33" i="1"/>
  <c r="J34" i="1" s="1"/>
  <c r="I33" i="1"/>
  <c r="I34" i="1" s="1"/>
  <c r="H33" i="1"/>
  <c r="H34" i="1" s="1"/>
  <c r="G33" i="1"/>
  <c r="G34" i="1" s="1"/>
  <c r="F33" i="1"/>
  <c r="F34" i="1" s="1"/>
  <c r="E33" i="1"/>
  <c r="E34" i="1" s="1"/>
  <c r="D33" i="1"/>
  <c r="D34" i="1" s="1"/>
  <c r="C33" i="1"/>
  <c r="C34" i="1" s="1"/>
  <c r="B33" i="1"/>
  <c r="B34" i="1" s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B4" i="2" s="1"/>
  <c r="C32" i="1"/>
  <c r="D4" i="2" s="1"/>
  <c r="B32" i="1"/>
  <c r="M22" i="1"/>
  <c r="L22" i="1"/>
  <c r="B22" i="1"/>
  <c r="P21" i="1"/>
  <c r="P22" i="1" s="1"/>
  <c r="O21" i="1"/>
  <c r="O22" i="1" s="1"/>
  <c r="N21" i="1"/>
  <c r="N22" i="1" s="1"/>
  <c r="M21" i="1"/>
  <c r="L21" i="1"/>
  <c r="K21" i="1"/>
  <c r="K22" i="1" s="1"/>
  <c r="J21" i="1"/>
  <c r="J22" i="1" s="1"/>
  <c r="I21" i="1"/>
  <c r="I22" i="1" s="1"/>
  <c r="H21" i="1"/>
  <c r="H22" i="1" s="1"/>
  <c r="G21" i="1"/>
  <c r="G22" i="1" s="1"/>
  <c r="F21" i="1"/>
  <c r="F22" i="1" s="1"/>
  <c r="E21" i="1"/>
  <c r="E22" i="1" s="1"/>
  <c r="D21" i="1"/>
  <c r="D22" i="1" s="1"/>
  <c r="C21" i="1"/>
  <c r="C22" i="1" s="1"/>
  <c r="B21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B3" i="2" s="1"/>
  <c r="C20" i="1"/>
  <c r="D3" i="2" s="1"/>
  <c r="B20" i="1"/>
  <c r="C8" i="1"/>
  <c r="D2" i="2" s="1"/>
  <c r="D8" i="1"/>
  <c r="B2" i="2" s="1"/>
  <c r="G2" i="2" s="1"/>
  <c r="E8" i="1"/>
  <c r="F8" i="1"/>
  <c r="G8" i="1"/>
  <c r="H8" i="1"/>
  <c r="I8" i="1"/>
  <c r="J8" i="1"/>
  <c r="K8" i="1"/>
  <c r="L8" i="1"/>
  <c r="M8" i="1"/>
  <c r="N8" i="1"/>
  <c r="O8" i="1"/>
  <c r="P8" i="1"/>
  <c r="C9" i="1"/>
  <c r="C10" i="1" s="1"/>
  <c r="D9" i="1"/>
  <c r="C2" i="2" s="1"/>
  <c r="E9" i="1"/>
  <c r="F9" i="1"/>
  <c r="F10" i="1" s="1"/>
  <c r="G9" i="1"/>
  <c r="H9" i="1"/>
  <c r="H10" i="1" s="1"/>
  <c r="I9" i="1"/>
  <c r="I10" i="1" s="1"/>
  <c r="J9" i="1"/>
  <c r="J10" i="1" s="1"/>
  <c r="K9" i="1"/>
  <c r="L9" i="1"/>
  <c r="M9" i="1"/>
  <c r="M10" i="1" s="1"/>
  <c r="N9" i="1"/>
  <c r="O9" i="1"/>
  <c r="O10" i="1" s="1"/>
  <c r="P9" i="1"/>
  <c r="P10" i="1" s="1"/>
  <c r="E10" i="1"/>
  <c r="G10" i="1"/>
  <c r="K10" i="1"/>
  <c r="L10" i="1"/>
  <c r="N10" i="1"/>
  <c r="B9" i="1"/>
  <c r="B10" i="1" s="1"/>
  <c r="B8" i="1"/>
  <c r="G8" i="2" l="1"/>
  <c r="G3" i="2"/>
  <c r="G4" i="2"/>
  <c r="G5" i="2"/>
  <c r="D10" i="1"/>
  <c r="C3" i="2"/>
  <c r="C6" i="2"/>
  <c r="C9" i="2"/>
  <c r="E3" i="2"/>
  <c r="E6" i="2"/>
  <c r="E9" i="2"/>
  <c r="C4" i="2"/>
  <c r="C7" i="2"/>
  <c r="E4" i="2"/>
  <c r="E7" i="2"/>
  <c r="C5" i="2"/>
  <c r="C8" i="2"/>
  <c r="E2" i="2"/>
  <c r="E5" i="2"/>
  <c r="E8" i="2"/>
</calcChain>
</file>

<file path=xl/sharedStrings.xml><?xml version="1.0" encoding="utf-8"?>
<sst xmlns="http://schemas.openxmlformats.org/spreadsheetml/2006/main" count="232" uniqueCount="80">
  <si>
    <t>Filename</t>
  </si>
  <si>
    <t>Mask Method</t>
  </si>
  <si>
    <t>Number of Droplets</t>
  </si>
  <si>
    <t>Mean Area</t>
  </si>
  <si>
    <t>Area STDEV</t>
  </si>
  <si>
    <t>Area SEM</t>
  </si>
  <si>
    <t>Total Area</t>
  </si>
  <si>
    <t>Mean Circularity</t>
  </si>
  <si>
    <t>Circularity STDEV</t>
  </si>
  <si>
    <t>Circularity SEM</t>
  </si>
  <si>
    <t>Mean AR</t>
  </si>
  <si>
    <t>AR STDEV</t>
  </si>
  <si>
    <t>AR SEM</t>
  </si>
  <si>
    <t>Mean Intensity</t>
  </si>
  <si>
    <t>Intensity STDEV</t>
  </si>
  <si>
    <t>Intensity SEM</t>
  </si>
  <si>
    <t>1021_Cy3.tif</t>
  </si>
  <si>
    <t>1022_Cy3.tif</t>
  </si>
  <si>
    <t>1023_Cy3.tif</t>
  </si>
  <si>
    <t>1024_Cy3.tif</t>
  </si>
  <si>
    <t>1025_Cy3.tif</t>
  </si>
  <si>
    <t>4 uM + 4 uM</t>
  </si>
  <si>
    <t>4 uM + 2 uM DDX6</t>
  </si>
  <si>
    <t>1028_Cy3.tif</t>
  </si>
  <si>
    <t>1029_Cy3.tif</t>
  </si>
  <si>
    <t>1030_Cy3.tif</t>
  </si>
  <si>
    <t>1031_Cy3.tif</t>
  </si>
  <si>
    <t>1032_Cy3.tif</t>
  </si>
  <si>
    <t>4 uM + 1 uM DDX6</t>
  </si>
  <si>
    <t>1033_Cy3.tif</t>
  </si>
  <si>
    <t>1034_Cy3.tif</t>
  </si>
  <si>
    <t>1035_Cy3.tif</t>
  </si>
  <si>
    <t>1036_Cy3.tif</t>
  </si>
  <si>
    <t>1037_Cy3.tif</t>
  </si>
  <si>
    <t>1038_Cy3.tif</t>
  </si>
  <si>
    <t>1039_Cy3.tif</t>
  </si>
  <si>
    <t>1040_Cy3.tif</t>
  </si>
  <si>
    <t>1041_Cy3.tif</t>
  </si>
  <si>
    <t>1042_Cy3.tif</t>
  </si>
  <si>
    <t>4 uM + 500 nM DDX6</t>
  </si>
  <si>
    <t>4 uM + 250 nM DDX6</t>
  </si>
  <si>
    <t>average</t>
  </si>
  <si>
    <t>stdev</t>
  </si>
  <si>
    <t>sem</t>
  </si>
  <si>
    <t>1016_Cy3.tif</t>
  </si>
  <si>
    <t>1017_Cy3.tif</t>
  </si>
  <si>
    <t>1018_Cy3.tif</t>
  </si>
  <si>
    <t>1019_Cy3.tif</t>
  </si>
  <si>
    <t>1020_Cy3.tif</t>
  </si>
  <si>
    <t>4 uM + 100 nM DDX6</t>
  </si>
  <si>
    <t>1011_Cy3.tif</t>
  </si>
  <si>
    <t>1012_Cy3.tif</t>
  </si>
  <si>
    <t>1013_Cy3.tif</t>
  </si>
  <si>
    <t>1014_Cy3.tif</t>
  </si>
  <si>
    <t>1015_Cy3.tif</t>
  </si>
  <si>
    <t>4 uM + 50 nM DDX6</t>
  </si>
  <si>
    <t>1006_Cy3.tif</t>
  </si>
  <si>
    <t>1007_Cy3.tif</t>
  </si>
  <si>
    <t>1008_Cy3.tif</t>
  </si>
  <si>
    <t>1009_Cy3.tif</t>
  </si>
  <si>
    <t>1010_Cy3.tif</t>
  </si>
  <si>
    <t>4 uM + 25 nM DDX6</t>
  </si>
  <si>
    <t>1001_Cy3.tif</t>
  </si>
  <si>
    <t>1002_Cy3.tif</t>
  </si>
  <si>
    <t>1003_Cy3.tif</t>
  </si>
  <si>
    <t>1004_Cy3.tif</t>
  </si>
  <si>
    <t>1005_Cy3.tif</t>
  </si>
  <si>
    <t>1076_Cy3.tif</t>
  </si>
  <si>
    <t>1077_Cy3.tif</t>
  </si>
  <si>
    <t>1078_Cy3.tif</t>
  </si>
  <si>
    <t>1079_Cy3.tif</t>
  </si>
  <si>
    <t>1080_Cy3.tif</t>
  </si>
  <si>
    <t>4 uM FUS</t>
  </si>
  <si>
    <t>Concentration</t>
  </si>
  <si>
    <t>Average Area</t>
  </si>
  <si>
    <t># of Droplets</t>
  </si>
  <si>
    <t>Stdev Area</t>
  </si>
  <si>
    <t>Stdev Droplets</t>
  </si>
  <si>
    <t>Area Coverage</t>
  </si>
  <si>
    <t>Area Coverage 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</si>
</sst>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FAC"/>
      <color rgb="FF64C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Average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64C8FF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Summary!$C$2:$C$9</c:f>
                <c:numCache>
                  <c:formatCode>General</c:formatCode>
                  <c:ptCount val="8"/>
                  <c:pt idx="0">
                    <c:v>9.0868949744673383E-2</c:v>
                  </c:pt>
                  <c:pt idx="1">
                    <c:v>3.6928778023379107E-2</c:v>
                  </c:pt>
                  <c:pt idx="2">
                    <c:v>4.2820520627381418E-2</c:v>
                  </c:pt>
                  <c:pt idx="3">
                    <c:v>4.7652097589717994E-2</c:v>
                  </c:pt>
                  <c:pt idx="4">
                    <c:v>3.9845847641881059E-2</c:v>
                  </c:pt>
                  <c:pt idx="5">
                    <c:v>0.23641793269124067</c:v>
                  </c:pt>
                  <c:pt idx="6">
                    <c:v>0.1503516306290025</c:v>
                  </c:pt>
                  <c:pt idx="7">
                    <c:v>0.18207467684249776</c:v>
                  </c:pt>
                </c:numCache>
              </c:numRef>
            </c:plus>
            <c:minus>
              <c:numRef>
                <c:f>Summary!$C$2:$C$9</c:f>
                <c:numCache>
                  <c:formatCode>General</c:formatCode>
                  <c:ptCount val="8"/>
                  <c:pt idx="0">
                    <c:v>9.0868949744673383E-2</c:v>
                  </c:pt>
                  <c:pt idx="1">
                    <c:v>3.6928778023379107E-2</c:v>
                  </c:pt>
                  <c:pt idx="2">
                    <c:v>4.2820520627381418E-2</c:v>
                  </c:pt>
                  <c:pt idx="3">
                    <c:v>4.7652097589717994E-2</c:v>
                  </c:pt>
                  <c:pt idx="4">
                    <c:v>3.9845847641881059E-2</c:v>
                  </c:pt>
                  <c:pt idx="5">
                    <c:v>0.23641793269124067</c:v>
                  </c:pt>
                  <c:pt idx="6">
                    <c:v>0.1503516306290025</c:v>
                  </c:pt>
                  <c:pt idx="7">
                    <c:v>0.18207467684249776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Summary!$A$2:$A$9</c:f>
              <c:numCache>
                <c:formatCode>General</c:formatCode>
                <c:ptCount val="8"/>
                <c:pt idx="0">
                  <c:v>4000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50</c:v>
                </c:pt>
                <c:pt idx="7">
                  <c:v>0</c:v>
                </c:pt>
              </c:numCache>
            </c:numRef>
          </c:xVal>
          <c:yVal>
            <c:numRef>
              <c:f>Summary!$B$2:$B$9</c:f>
              <c:numCache>
                <c:formatCode>General</c:formatCode>
                <c:ptCount val="8"/>
                <c:pt idx="0">
                  <c:v>2.6261662000000001</c:v>
                </c:pt>
                <c:pt idx="1">
                  <c:v>2.2039453999999998</c:v>
                </c:pt>
                <c:pt idx="2">
                  <c:v>1.8188226000000001</c:v>
                </c:pt>
                <c:pt idx="3">
                  <c:v>2.1008147999999998</c:v>
                </c:pt>
                <c:pt idx="4">
                  <c:v>2.6158433999999997</c:v>
                </c:pt>
                <c:pt idx="5">
                  <c:v>3.7241779999999998</c:v>
                </c:pt>
                <c:pt idx="6">
                  <c:v>4.1818445999999998</c:v>
                </c:pt>
                <c:pt idx="7">
                  <c:v>3.6793903999999999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D-4D13-AADD-8AE93BCF6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327616"/>
        <c:axId val="1081913872"/>
      </c:scatterChart>
      <c:scatterChart>
        <c:scatterStyle val="lineMarker"/>
        <c:varyColors val="0"/>
        <c:ser>
          <c:idx val="1"/>
          <c:order val="1"/>
          <c:tx>
            <c:strRef>
              <c:f>Summary!$D$1</c:f>
              <c:strCache>
                <c:ptCount val="1"/>
                <c:pt idx="0">
                  <c:v># of Droplets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Summary!$E$2:$E$9</c:f>
                <c:numCache>
                  <c:formatCode>General</c:formatCode>
                  <c:ptCount val="8"/>
                  <c:pt idx="0">
                    <c:v>26.67395733669828</c:v>
                  </c:pt>
                  <c:pt idx="1">
                    <c:v>56.225439082322872</c:v>
                  </c:pt>
                  <c:pt idx="2">
                    <c:v>54.373706881175572</c:v>
                  </c:pt>
                  <c:pt idx="3">
                    <c:v>59.187836588272091</c:v>
                  </c:pt>
                  <c:pt idx="4">
                    <c:v>57.833381364053068</c:v>
                  </c:pt>
                  <c:pt idx="5">
                    <c:v>106.28640552770608</c:v>
                  </c:pt>
                  <c:pt idx="6">
                    <c:v>27.919527216627433</c:v>
                  </c:pt>
                  <c:pt idx="7">
                    <c:v>29.159903977894029</c:v>
                  </c:pt>
                </c:numCache>
              </c:numRef>
            </c:plus>
            <c:minus>
              <c:numRef>
                <c:f>Summary!$E$2:$E$9</c:f>
                <c:numCache>
                  <c:formatCode>General</c:formatCode>
                  <c:ptCount val="8"/>
                  <c:pt idx="0">
                    <c:v>26.67395733669828</c:v>
                  </c:pt>
                  <c:pt idx="1">
                    <c:v>56.225439082322872</c:v>
                  </c:pt>
                  <c:pt idx="2">
                    <c:v>54.373706881175572</c:v>
                  </c:pt>
                  <c:pt idx="3">
                    <c:v>59.187836588272091</c:v>
                  </c:pt>
                  <c:pt idx="4">
                    <c:v>57.833381364053068</c:v>
                  </c:pt>
                  <c:pt idx="5">
                    <c:v>106.28640552770608</c:v>
                  </c:pt>
                  <c:pt idx="6">
                    <c:v>27.919527216627433</c:v>
                  </c:pt>
                  <c:pt idx="7">
                    <c:v>29.159903977894029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Summary!$A$2:$A$9</c:f>
              <c:numCache>
                <c:formatCode>General</c:formatCode>
                <c:ptCount val="8"/>
                <c:pt idx="0">
                  <c:v>4000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50</c:v>
                </c:pt>
                <c:pt idx="7">
                  <c:v>0</c:v>
                </c:pt>
              </c:numCache>
            </c:numRef>
          </c:xVal>
          <c:yVal>
            <c:numRef>
              <c:f>Summary!$D$2:$D$9</c:f>
              <c:numCache>
                <c:formatCode>General</c:formatCode>
                <c:ptCount val="8"/>
                <c:pt idx="0">
                  <c:v>652</c:v>
                </c:pt>
                <c:pt idx="1">
                  <c:v>959.6</c:v>
                </c:pt>
                <c:pt idx="2">
                  <c:v>1057</c:v>
                </c:pt>
                <c:pt idx="3">
                  <c:v>1247.2</c:v>
                </c:pt>
                <c:pt idx="4">
                  <c:v>834.8</c:v>
                </c:pt>
                <c:pt idx="5">
                  <c:v>474.4</c:v>
                </c:pt>
                <c:pt idx="6">
                  <c:v>623</c:v>
                </c:pt>
                <c:pt idx="7">
                  <c:v>635.4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0D-4D13-AADD-8AE93BCF6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340240"/>
        <c:axId val="1287320272"/>
      </c:scatterChart>
      <c:valAx>
        <c:axId val="102832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[DDX6]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913872"/>
        <c:crosses val="autoZero"/>
        <c:crossBetween val="midCat"/>
      </c:valAx>
      <c:valAx>
        <c:axId val="108191387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Average Area (um2)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327616"/>
        <c:crossesAt val="10"/>
        <c:crossBetween val="midCat"/>
        <c:majorUnit val="1"/>
      </c:valAx>
      <c:valAx>
        <c:axId val="1287320272"/>
        <c:scaling>
          <c:orientation val="minMax"/>
          <c:max val="150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# of Droplets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7340240"/>
        <c:crosses val="max"/>
        <c:crossBetween val="midCat"/>
        <c:majorUnit val="500"/>
      </c:valAx>
      <c:valAx>
        <c:axId val="1287340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732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Area Coverage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6FAC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ptCount val="0"/>
              </c:numLit>
            </c:plus>
            <c:minus>
              <c:numLit>
                <c:ptCount val="0"/>
              </c:numLit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Summary!$A$2:$A$9</c:f>
              <c:numCache>
                <c:formatCode>General</c:formatCode>
                <c:ptCount val="8"/>
                <c:pt idx="0">
                  <c:v>4000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50</c:v>
                </c:pt>
                <c:pt idx="7">
                  <c:v>0</c:v>
                </c:pt>
              </c:numCache>
            </c:numRef>
          </c:xVal>
          <c:yVal>
            <c:numRef>
              <c:f>Summary!$G$2:$G$9</c:f>
              <c:numCache>
                <c:formatCode>General</c:formatCode>
                <c:ptCount val="8"/>
                <c:pt idx="0">
                  <c:v>1712.2603624000001</c:v>
                </c:pt>
                <c:pt idx="1">
                  <c:v>2114.90600584</c:v>
                </c:pt>
                <c:pt idx="2">
                  <c:v>1922.4954882000002</c:v>
                </c:pt>
                <c:pt idx="3">
                  <c:v>2620.1362185599996</c:v>
                </c:pt>
                <c:pt idx="4">
                  <c:v>2183.7060703199995</c:v>
                </c:pt>
                <c:pt idx="5">
                  <c:v>1766.7500431999997</c:v>
                </c:pt>
                <c:pt idx="6">
                  <c:v>2605.2891857999998</c:v>
                </c:pt>
                <c:pt idx="7">
                  <c:v>2337.8846601599998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D-4D13-AADD-8AE93BCF6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327616"/>
        <c:axId val="1081913872"/>
      </c:scatterChart>
      <c:valAx>
        <c:axId val="102832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[DDX6]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913872"/>
        <c:crosses val="autoZero"/>
        <c:crossBetween val="midCat"/>
      </c:valAx>
      <c:valAx>
        <c:axId val="1081913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Area Coverage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327616"/>
        <c:crossesAt val="1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Average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64C8FF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Summary!$C$2:$C$9</c:f>
                <c:numCache>
                  <c:formatCode>General</c:formatCode>
                  <c:ptCount val="8"/>
                  <c:pt idx="0">
                    <c:v>9.0868949744673383E-2</c:v>
                  </c:pt>
                  <c:pt idx="1">
                    <c:v>3.6928778023379107E-2</c:v>
                  </c:pt>
                  <c:pt idx="2">
                    <c:v>4.2820520627381418E-2</c:v>
                  </c:pt>
                  <c:pt idx="3">
                    <c:v>4.7652097589717994E-2</c:v>
                  </c:pt>
                  <c:pt idx="4">
                    <c:v>3.9845847641881059E-2</c:v>
                  </c:pt>
                  <c:pt idx="5">
                    <c:v>0.23641793269124067</c:v>
                  </c:pt>
                  <c:pt idx="6">
                    <c:v>0.1503516306290025</c:v>
                  </c:pt>
                  <c:pt idx="7">
                    <c:v>0.18207467684249776</c:v>
                  </c:pt>
                </c:numCache>
              </c:numRef>
            </c:plus>
            <c:minus>
              <c:numRef>
                <c:f>Summary!$C$2:$C$9</c:f>
                <c:numCache>
                  <c:formatCode>General</c:formatCode>
                  <c:ptCount val="8"/>
                  <c:pt idx="0">
                    <c:v>9.0868949744673383E-2</c:v>
                  </c:pt>
                  <c:pt idx="1">
                    <c:v>3.6928778023379107E-2</c:v>
                  </c:pt>
                  <c:pt idx="2">
                    <c:v>4.2820520627381418E-2</c:v>
                  </c:pt>
                  <c:pt idx="3">
                    <c:v>4.7652097589717994E-2</c:v>
                  </c:pt>
                  <c:pt idx="4">
                    <c:v>3.9845847641881059E-2</c:v>
                  </c:pt>
                  <c:pt idx="5">
                    <c:v>0.23641793269124067</c:v>
                  </c:pt>
                  <c:pt idx="6">
                    <c:v>0.1503516306290025</c:v>
                  </c:pt>
                  <c:pt idx="7">
                    <c:v>0.18207467684249776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Summary!$A$2:$A$9</c:f>
              <c:numCache>
                <c:formatCode>General</c:formatCode>
                <c:ptCount val="8"/>
                <c:pt idx="0">
                  <c:v>4000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50</c:v>
                </c:pt>
                <c:pt idx="7">
                  <c:v>0</c:v>
                </c:pt>
              </c:numCache>
            </c:numRef>
          </c:xVal>
          <c:yVal>
            <c:numRef>
              <c:f>Summary!$B$2:$B$9</c:f>
              <c:numCache>
                <c:formatCode>General</c:formatCode>
                <c:ptCount val="8"/>
                <c:pt idx="0">
                  <c:v>2.6261662000000001</c:v>
                </c:pt>
                <c:pt idx="1">
                  <c:v>2.2039453999999998</c:v>
                </c:pt>
                <c:pt idx="2">
                  <c:v>1.8188226000000001</c:v>
                </c:pt>
                <c:pt idx="3">
                  <c:v>2.1008147999999998</c:v>
                </c:pt>
                <c:pt idx="4">
                  <c:v>2.6158433999999997</c:v>
                </c:pt>
                <c:pt idx="5">
                  <c:v>3.7241779999999998</c:v>
                </c:pt>
                <c:pt idx="6">
                  <c:v>4.1818445999999998</c:v>
                </c:pt>
                <c:pt idx="7">
                  <c:v>3.6793903999999999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41-48A3-ABF8-BA0F2A875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327616"/>
        <c:axId val="1081913872"/>
      </c:scatterChart>
      <c:scatterChart>
        <c:scatterStyle val="lineMarker"/>
        <c:varyColors val="0"/>
        <c:ser>
          <c:idx val="1"/>
          <c:order val="1"/>
          <c:tx>
            <c:strRef>
              <c:f>Summary!$D$1</c:f>
              <c:strCache>
                <c:ptCount val="1"/>
                <c:pt idx="0">
                  <c:v># of Droplets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Summary!$E$2:$E$9</c:f>
                <c:numCache>
                  <c:formatCode>General</c:formatCode>
                  <c:ptCount val="8"/>
                  <c:pt idx="0">
                    <c:v>26.67395733669828</c:v>
                  </c:pt>
                  <c:pt idx="1">
                    <c:v>56.225439082322872</c:v>
                  </c:pt>
                  <c:pt idx="2">
                    <c:v>54.373706881175572</c:v>
                  </c:pt>
                  <c:pt idx="3">
                    <c:v>59.187836588272091</c:v>
                  </c:pt>
                  <c:pt idx="4">
                    <c:v>57.833381364053068</c:v>
                  </c:pt>
                  <c:pt idx="5">
                    <c:v>106.28640552770608</c:v>
                  </c:pt>
                  <c:pt idx="6">
                    <c:v>27.919527216627433</c:v>
                  </c:pt>
                  <c:pt idx="7">
                    <c:v>29.159903977894029</c:v>
                  </c:pt>
                </c:numCache>
              </c:numRef>
            </c:plus>
            <c:minus>
              <c:numRef>
                <c:f>Summary!$E$2:$E$9</c:f>
                <c:numCache>
                  <c:formatCode>General</c:formatCode>
                  <c:ptCount val="8"/>
                  <c:pt idx="0">
                    <c:v>26.67395733669828</c:v>
                  </c:pt>
                  <c:pt idx="1">
                    <c:v>56.225439082322872</c:v>
                  </c:pt>
                  <c:pt idx="2">
                    <c:v>54.373706881175572</c:v>
                  </c:pt>
                  <c:pt idx="3">
                    <c:v>59.187836588272091</c:v>
                  </c:pt>
                  <c:pt idx="4">
                    <c:v>57.833381364053068</c:v>
                  </c:pt>
                  <c:pt idx="5">
                    <c:v>106.28640552770608</c:v>
                  </c:pt>
                  <c:pt idx="6">
                    <c:v>27.919527216627433</c:v>
                  </c:pt>
                  <c:pt idx="7">
                    <c:v>29.159903977894029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Summary!$A$2:$A$9</c:f>
              <c:numCache>
                <c:formatCode>General</c:formatCode>
                <c:ptCount val="8"/>
                <c:pt idx="0">
                  <c:v>4000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50</c:v>
                </c:pt>
                <c:pt idx="7">
                  <c:v>0</c:v>
                </c:pt>
              </c:numCache>
            </c:numRef>
          </c:xVal>
          <c:yVal>
            <c:numRef>
              <c:f>Summary!$D$2:$D$9</c:f>
              <c:numCache>
                <c:formatCode>General</c:formatCode>
                <c:ptCount val="8"/>
                <c:pt idx="0">
                  <c:v>652</c:v>
                </c:pt>
                <c:pt idx="1">
                  <c:v>959.6</c:v>
                </c:pt>
                <c:pt idx="2">
                  <c:v>1057</c:v>
                </c:pt>
                <c:pt idx="3">
                  <c:v>1247.2</c:v>
                </c:pt>
                <c:pt idx="4">
                  <c:v>834.8</c:v>
                </c:pt>
                <c:pt idx="5">
                  <c:v>474.4</c:v>
                </c:pt>
                <c:pt idx="6">
                  <c:v>623</c:v>
                </c:pt>
                <c:pt idx="7">
                  <c:v>635.4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41-48A3-ABF8-BA0F2A875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340240"/>
        <c:axId val="1287320272"/>
      </c:scatterChart>
      <c:valAx>
        <c:axId val="1028327616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[DDX6]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913872"/>
        <c:crosses val="autoZero"/>
        <c:crossBetween val="midCat"/>
      </c:valAx>
      <c:valAx>
        <c:axId val="108191387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Average Area (um2)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327616"/>
        <c:crossesAt val="10"/>
        <c:crossBetween val="midCat"/>
        <c:majorUnit val="1"/>
      </c:valAx>
      <c:valAx>
        <c:axId val="1287320272"/>
        <c:scaling>
          <c:orientation val="minMax"/>
          <c:max val="1500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# of Droplets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87340240"/>
        <c:crosses val="max"/>
        <c:crossBetween val="midCat"/>
        <c:majorUnit val="500"/>
      </c:valAx>
      <c:valAx>
        <c:axId val="1287340240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732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Area Coverage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006FAC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Summary!$H$2:$H$9</c:f>
                <c:numCache>
                  <c:formatCode>General</c:formatCode>
                  <c:ptCount val="8"/>
                  <c:pt idx="0">
                    <c:v>91.745251411287427</c:v>
                  </c:pt>
                  <c:pt idx="1">
                    <c:v>128.88518665337679</c:v>
                  </c:pt>
                  <c:pt idx="2">
                    <c:v>108.76133651224967</c:v>
                  </c:pt>
                  <c:pt idx="3">
                    <c:v>137.81592556616101</c:v>
                  </c:pt>
                  <c:pt idx="4">
                    <c:v>154.89678815447553</c:v>
                  </c:pt>
                  <c:pt idx="5">
                    <c:v>411.41233048168868</c:v>
                  </c:pt>
                  <c:pt idx="6">
                    <c:v>149.68517933556714</c:v>
                  </c:pt>
                  <c:pt idx="7">
                    <c:v>157.78314834006309</c:v>
                  </c:pt>
                </c:numCache>
              </c:numRef>
            </c:plus>
            <c:minus>
              <c:numRef>
                <c:f>Summary!$H$2:$H$9</c:f>
                <c:numCache>
                  <c:formatCode>General</c:formatCode>
                  <c:ptCount val="8"/>
                  <c:pt idx="0">
                    <c:v>91.745251411287427</c:v>
                  </c:pt>
                  <c:pt idx="1">
                    <c:v>128.88518665337679</c:v>
                  </c:pt>
                  <c:pt idx="2">
                    <c:v>108.76133651224967</c:v>
                  </c:pt>
                  <c:pt idx="3">
                    <c:v>137.81592556616101</c:v>
                  </c:pt>
                  <c:pt idx="4">
                    <c:v>154.89678815447553</c:v>
                  </c:pt>
                  <c:pt idx="5">
                    <c:v>411.41233048168868</c:v>
                  </c:pt>
                  <c:pt idx="6">
                    <c:v>149.68517933556714</c:v>
                  </c:pt>
                  <c:pt idx="7">
                    <c:v>157.78314834006309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Summary!$A$2:$A$9</c:f>
              <c:numCache>
                <c:formatCode>General</c:formatCode>
                <c:ptCount val="8"/>
                <c:pt idx="0">
                  <c:v>4000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50</c:v>
                </c:pt>
                <c:pt idx="7">
                  <c:v>0</c:v>
                </c:pt>
              </c:numCache>
            </c:numRef>
          </c:xVal>
          <c:yVal>
            <c:numRef>
              <c:f>Summary!$G$2:$G$9</c:f>
              <c:numCache>
                <c:formatCode>General</c:formatCode>
                <c:ptCount val="8"/>
                <c:pt idx="0">
                  <c:v>1712.2603624000001</c:v>
                </c:pt>
                <c:pt idx="1">
                  <c:v>2114.90600584</c:v>
                </c:pt>
                <c:pt idx="2">
                  <c:v>1922.4954882000002</c:v>
                </c:pt>
                <c:pt idx="3">
                  <c:v>2620.1362185599996</c:v>
                </c:pt>
                <c:pt idx="4">
                  <c:v>2183.7060703199995</c:v>
                </c:pt>
                <c:pt idx="5">
                  <c:v>1766.7500431999997</c:v>
                </c:pt>
                <c:pt idx="6">
                  <c:v>2605.2891857999998</c:v>
                </c:pt>
                <c:pt idx="7">
                  <c:v>2337.8846601599998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7-4BF1-8DA2-7D31CDC5B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327616"/>
        <c:axId val="1081913872"/>
      </c:scatterChart>
      <c:valAx>
        <c:axId val="1028327616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[DDX6]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913872"/>
        <c:crosses val="autoZero"/>
        <c:crossBetween val="midCat"/>
      </c:valAx>
      <c:valAx>
        <c:axId val="1081913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Relative Area Coverage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327616"/>
        <c:crossesAt val="10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Summary!$D$1</c:f>
              <c:strCache>
                <c:ptCount val="1"/>
                <c:pt idx="0">
                  <c:v># of Droplets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Summary!$E$2:$E$9</c:f>
                <c:numCache>
                  <c:formatCode>General</c:formatCode>
                  <c:ptCount val="8"/>
                  <c:pt idx="0">
                    <c:v>26.67395733669828</c:v>
                  </c:pt>
                  <c:pt idx="1">
                    <c:v>56.225439082322872</c:v>
                  </c:pt>
                  <c:pt idx="2">
                    <c:v>54.373706881175572</c:v>
                  </c:pt>
                  <c:pt idx="3">
                    <c:v>59.187836588272091</c:v>
                  </c:pt>
                  <c:pt idx="4">
                    <c:v>57.833381364053068</c:v>
                  </c:pt>
                  <c:pt idx="5">
                    <c:v>106.28640552770608</c:v>
                  </c:pt>
                  <c:pt idx="6">
                    <c:v>27.919527216627433</c:v>
                  </c:pt>
                  <c:pt idx="7">
                    <c:v>29.159903977894029</c:v>
                  </c:pt>
                </c:numCache>
              </c:numRef>
            </c:plus>
            <c:minus>
              <c:numRef>
                <c:f>Summary!$E$2:$E$9</c:f>
                <c:numCache>
                  <c:formatCode>General</c:formatCode>
                  <c:ptCount val="8"/>
                  <c:pt idx="0">
                    <c:v>26.67395733669828</c:v>
                  </c:pt>
                  <c:pt idx="1">
                    <c:v>56.225439082322872</c:v>
                  </c:pt>
                  <c:pt idx="2">
                    <c:v>54.373706881175572</c:v>
                  </c:pt>
                  <c:pt idx="3">
                    <c:v>59.187836588272091</c:v>
                  </c:pt>
                  <c:pt idx="4">
                    <c:v>57.833381364053068</c:v>
                  </c:pt>
                  <c:pt idx="5">
                    <c:v>106.28640552770608</c:v>
                  </c:pt>
                  <c:pt idx="6">
                    <c:v>27.919527216627433</c:v>
                  </c:pt>
                  <c:pt idx="7">
                    <c:v>29.159903977894029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Summary!$A$2:$A$9</c:f>
              <c:numCache>
                <c:formatCode>General</c:formatCode>
                <c:ptCount val="8"/>
                <c:pt idx="0">
                  <c:v>4000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50</c:v>
                </c:pt>
                <c:pt idx="7">
                  <c:v>0</c:v>
                </c:pt>
              </c:numCache>
            </c:numRef>
          </c:xVal>
          <c:yVal>
            <c:numRef>
              <c:f>Summary!$D$2:$D$9</c:f>
              <c:numCache>
                <c:formatCode>General</c:formatCode>
                <c:ptCount val="8"/>
                <c:pt idx="0">
                  <c:v>652</c:v>
                </c:pt>
                <c:pt idx="1">
                  <c:v>959.6</c:v>
                </c:pt>
                <c:pt idx="2">
                  <c:v>1057</c:v>
                </c:pt>
                <c:pt idx="3">
                  <c:v>1247.2</c:v>
                </c:pt>
                <c:pt idx="4">
                  <c:v>834.8</c:v>
                </c:pt>
                <c:pt idx="5">
                  <c:v>474.4</c:v>
                </c:pt>
                <c:pt idx="6">
                  <c:v>623</c:v>
                </c:pt>
                <c:pt idx="7">
                  <c:v>635.4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F1-45A3-9DE4-BA0C23639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327616"/>
        <c:axId val="1081913872"/>
      </c:scatterChart>
      <c:valAx>
        <c:axId val="1028327616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[DDX6]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913872"/>
        <c:crosses val="autoZero"/>
        <c:crossBetween val="midCat"/>
      </c:valAx>
      <c:valAx>
        <c:axId val="1081913872"/>
        <c:scaling>
          <c:orientation val="minMax"/>
          <c:max val="15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#</a:t>
                </a:r>
                <a:r>
                  <a:rPr lang="en-US" baseline="0"/>
                  <a:t> of Droplets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327616"/>
        <c:crossesAt val="10"/>
        <c:crossBetween val="midCat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Average Area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0"/>
            <c:spPr>
              <a:solidFill>
                <a:srgbClr val="64C8FF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Summary!$C$2:$C$9</c:f>
                <c:numCache>
                  <c:formatCode>General</c:formatCode>
                  <c:ptCount val="8"/>
                  <c:pt idx="0">
                    <c:v>9.0868949744673383E-2</c:v>
                  </c:pt>
                  <c:pt idx="1">
                    <c:v>3.6928778023379107E-2</c:v>
                  </c:pt>
                  <c:pt idx="2">
                    <c:v>4.2820520627381418E-2</c:v>
                  </c:pt>
                  <c:pt idx="3">
                    <c:v>4.7652097589717994E-2</c:v>
                  </c:pt>
                  <c:pt idx="4">
                    <c:v>3.9845847641881059E-2</c:v>
                  </c:pt>
                  <c:pt idx="5">
                    <c:v>0.23641793269124067</c:v>
                  </c:pt>
                  <c:pt idx="6">
                    <c:v>0.1503516306290025</c:v>
                  </c:pt>
                  <c:pt idx="7">
                    <c:v>0.18207467684249776</c:v>
                  </c:pt>
                </c:numCache>
              </c:numRef>
            </c:plus>
            <c:minus>
              <c:numRef>
                <c:f>Summary!$C$2:$C$9</c:f>
                <c:numCache>
                  <c:formatCode>General</c:formatCode>
                  <c:ptCount val="8"/>
                  <c:pt idx="0">
                    <c:v>9.0868949744673383E-2</c:v>
                  </c:pt>
                  <c:pt idx="1">
                    <c:v>3.6928778023379107E-2</c:v>
                  </c:pt>
                  <c:pt idx="2">
                    <c:v>4.2820520627381418E-2</c:v>
                  </c:pt>
                  <c:pt idx="3">
                    <c:v>4.7652097589717994E-2</c:v>
                  </c:pt>
                  <c:pt idx="4">
                    <c:v>3.9845847641881059E-2</c:v>
                  </c:pt>
                  <c:pt idx="5">
                    <c:v>0.23641793269124067</c:v>
                  </c:pt>
                  <c:pt idx="6">
                    <c:v>0.1503516306290025</c:v>
                  </c:pt>
                  <c:pt idx="7">
                    <c:v>0.18207467684249776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Summary!$A$2:$A$9</c:f>
              <c:numCache>
                <c:formatCode>General</c:formatCode>
                <c:ptCount val="8"/>
                <c:pt idx="0">
                  <c:v>4000</c:v>
                </c:pt>
                <c:pt idx="1">
                  <c:v>2000</c:v>
                </c:pt>
                <c:pt idx="2">
                  <c:v>1000</c:v>
                </c:pt>
                <c:pt idx="3">
                  <c:v>500</c:v>
                </c:pt>
                <c:pt idx="4">
                  <c:v>250</c:v>
                </c:pt>
                <c:pt idx="5">
                  <c:v>100</c:v>
                </c:pt>
                <c:pt idx="6">
                  <c:v>50</c:v>
                </c:pt>
                <c:pt idx="7">
                  <c:v>0</c:v>
                </c:pt>
              </c:numCache>
            </c:numRef>
          </c:xVal>
          <c:yVal>
            <c:numRef>
              <c:f>Summary!$B$2:$B$9</c:f>
              <c:numCache>
                <c:formatCode>General</c:formatCode>
                <c:ptCount val="8"/>
                <c:pt idx="0">
                  <c:v>2.6261662000000001</c:v>
                </c:pt>
                <c:pt idx="1">
                  <c:v>2.2039453999999998</c:v>
                </c:pt>
                <c:pt idx="2">
                  <c:v>1.8188226000000001</c:v>
                </c:pt>
                <c:pt idx="3">
                  <c:v>2.1008147999999998</c:v>
                </c:pt>
                <c:pt idx="4">
                  <c:v>2.6158433999999997</c:v>
                </c:pt>
                <c:pt idx="5">
                  <c:v>3.7241779999999998</c:v>
                </c:pt>
                <c:pt idx="6">
                  <c:v>4.1818445999999998</c:v>
                </c:pt>
                <c:pt idx="7">
                  <c:v>3.6793903999999999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C5-4186-A5F8-DDA922783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327616"/>
        <c:axId val="1081913872"/>
      </c:scatterChart>
      <c:valAx>
        <c:axId val="1028327616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[DDX6]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1913872"/>
        <c:crosses val="autoZero"/>
        <c:crossBetween val="midCat"/>
      </c:valAx>
      <c:valAx>
        <c:axId val="1081913872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Average Area (um2)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28327616"/>
        <c:crossesAt val="10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1</xdr:row>
      <xdr:rowOff>152777</xdr:rowOff>
    </xdr:from>
    <xdr:to>
      <xdr:col>15</xdr:col>
      <xdr:colOff>141111</xdr:colOff>
      <xdr:row>22</xdr:row>
      <xdr:rowOff>56822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B2D94-69FA-4C68-91A5-7F5F8F759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45720</xdr:colOff>
      <xdr:row>9</xdr:row>
      <xdr:rowOff>38100</xdr:rowOff>
    </xdr:from>
    <xdr:to>
      <xdr:col>8</xdr:col>
      <xdr:colOff>350520</xdr:colOff>
      <xdr:row>24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4EE37F-E04D-4DEB-B45D-23B2C37FB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0</xdr:row>
      <xdr:rowOff>121920</xdr:rowOff>
    </xdr:from>
    <xdr:to>
      <xdr:col>4</xdr:col>
      <xdr:colOff>472440</xdr:colOff>
      <xdr:row>15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08C61-EF19-48F5-9653-1702EF357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144780</xdr:colOff>
      <xdr:row>15</xdr:row>
      <xdr:rowOff>175259</xdr:rowOff>
    </xdr:from>
    <xdr:to>
      <xdr:col>4</xdr:col>
      <xdr:colOff>449580</xdr:colOff>
      <xdr:row>30</xdr:row>
      <xdr:rowOff>175259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5EB38B-88FF-47D2-B8DB-F646351E1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15</xdr:row>
      <xdr:rowOff>160020</xdr:rowOff>
    </xdr:from>
    <xdr:to>
      <xdr:col>9</xdr:col>
      <xdr:colOff>304800</xdr:colOff>
      <xdr:row>30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B53221-F731-487F-83FD-2FBD4F3E92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586740</xdr:colOff>
      <xdr:row>0</xdr:row>
      <xdr:rowOff>83820</xdr:rowOff>
    </xdr:from>
    <xdr:to>
      <xdr:col>9</xdr:col>
      <xdr:colOff>281940</xdr:colOff>
      <xdr:row>15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915A97-3790-4829-86B8-172E616CC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CC9E-82E7-4A0B-B992-AF613AC00902}">
  <dimension ref="A1:H9"/>
  <sheetViews>
    <sheetView zoomScale="81" zoomScaleNormal="81" workbookViewId="0">
      <selection activeCell="H2" sqref="H2:H9"/>
    </sheetView>
  </sheetViews>
  <sheetFormatPr defaultRowHeight="14.4" x14ac:dyDescent="0.3"/>
  <sheetData>
    <row r="1" spans="1:8" x14ac:dyDescent="0.3">
      <c r="A1" t="s">
        <v>73</v>
      </c>
      <c r="B1" t="s">
        <v>74</v>
      </c>
      <c r="C1" t="s">
        <v>76</v>
      </c>
      <c r="D1" t="s">
        <v>75</v>
      </c>
      <c r="E1" t="s">
        <v>77</v>
      </c>
      <c r="G1" t="s">
        <v>78</v>
      </c>
      <c r="H1" t="s">
        <v>79</v>
      </c>
    </row>
    <row r="2" spans="1:8" x14ac:dyDescent="0.3">
      <c r="A2">
        <f>4000</f>
        <v>4000</v>
      </c>
      <c r="B2">
        <f>'Imported Data'!D8</f>
        <v>2.6261662000000001</v>
      </c>
      <c r="C2">
        <f>'Imported Data'!D9</f>
        <v>9.0868949744673383E-2</v>
      </c>
      <c r="D2">
        <f>'Imported Data'!C8</f>
        <v>652</v>
      </c>
      <c r="E2">
        <f>'Imported Data'!C9</f>
        <v>26.67395733669828</v>
      </c>
      <c r="G2">
        <f>B2*D2</f>
        <v>1712.2603624000001</v>
      </c>
      <c r="H2">
        <f>SQRT(((C2/B2)^2)+((E2/D2)^2))*G2</f>
        <v>91.745251411287427</v>
      </c>
    </row>
    <row r="3" spans="1:8" x14ac:dyDescent="0.3">
      <c r="A3">
        <f>2000</f>
        <v>2000</v>
      </c>
      <c r="B3">
        <f>'Imported Data'!D20</f>
        <v>2.2039453999999998</v>
      </c>
      <c r="C3">
        <f>'Imported Data'!D21</f>
        <v>3.6928778023379107E-2</v>
      </c>
      <c r="D3">
        <f>'Imported Data'!C20</f>
        <v>959.6</v>
      </c>
      <c r="E3">
        <f>'Imported Data'!C21</f>
        <v>56.225439082322872</v>
      </c>
      <c r="G3">
        <f t="shared" ref="G3:G9" si="0">B3*D3</f>
        <v>2114.90600584</v>
      </c>
      <c r="H3">
        <f t="shared" ref="H3:H9" si="1">SQRT(((C3/B3)^2)+((E3/D3)^2))*G3</f>
        <v>128.88518665337679</v>
      </c>
    </row>
    <row r="4" spans="1:8" x14ac:dyDescent="0.3">
      <c r="A4">
        <f>1000</f>
        <v>1000</v>
      </c>
      <c r="B4">
        <f>'Imported Data'!D32</f>
        <v>1.8188226000000001</v>
      </c>
      <c r="C4">
        <f>'Imported Data'!D33</f>
        <v>4.2820520627381418E-2</v>
      </c>
      <c r="D4">
        <f>'Imported Data'!C32</f>
        <v>1057</v>
      </c>
      <c r="E4">
        <f>'Imported Data'!C33</f>
        <v>54.373706881175572</v>
      </c>
      <c r="G4">
        <f t="shared" si="0"/>
        <v>1922.4954882000002</v>
      </c>
      <c r="H4">
        <f t="shared" si="1"/>
        <v>108.76133651224967</v>
      </c>
    </row>
    <row r="5" spans="1:8" x14ac:dyDescent="0.3">
      <c r="A5">
        <f>500</f>
        <v>500</v>
      </c>
      <c r="B5">
        <f>'Imported Data'!D43</f>
        <v>2.1008147999999998</v>
      </c>
      <c r="C5">
        <f>'Imported Data'!D44</f>
        <v>4.7652097589717994E-2</v>
      </c>
      <c r="D5">
        <f>'Imported Data'!C43</f>
        <v>1247.2</v>
      </c>
      <c r="E5">
        <f>'Imported Data'!C44</f>
        <v>59.187836588272091</v>
      </c>
      <c r="G5">
        <f t="shared" si="0"/>
        <v>2620.1362185599996</v>
      </c>
      <c r="H5">
        <f t="shared" si="1"/>
        <v>137.81592556616101</v>
      </c>
    </row>
    <row r="6" spans="1:8" x14ac:dyDescent="0.3">
      <c r="A6">
        <f>250</f>
        <v>250</v>
      </c>
      <c r="B6">
        <f>'Imported Data'!D54</f>
        <v>2.6158433999999997</v>
      </c>
      <c r="C6">
        <f>'Imported Data'!D55</f>
        <v>3.9845847641881059E-2</v>
      </c>
      <c r="D6">
        <f>'Imported Data'!C54</f>
        <v>834.8</v>
      </c>
      <c r="E6">
        <f>'Imported Data'!C55</f>
        <v>57.833381364053068</v>
      </c>
      <c r="G6">
        <f t="shared" si="0"/>
        <v>2183.7060703199995</v>
      </c>
      <c r="H6">
        <f t="shared" si="1"/>
        <v>154.89678815447553</v>
      </c>
    </row>
    <row r="7" spans="1:8" x14ac:dyDescent="0.3">
      <c r="A7">
        <f>100</f>
        <v>100</v>
      </c>
      <c r="B7">
        <f>'Imported Data'!D65</f>
        <v>3.7241779999999998</v>
      </c>
      <c r="C7">
        <f>'Imported Data'!D66</f>
        <v>0.23641793269124067</v>
      </c>
      <c r="D7">
        <f>'Imported Data'!C65</f>
        <v>474.4</v>
      </c>
      <c r="E7">
        <f>'Imported Data'!C66</f>
        <v>106.28640552770608</v>
      </c>
      <c r="G7">
        <f t="shared" si="0"/>
        <v>1766.7500431999997</v>
      </c>
      <c r="H7">
        <f t="shared" si="1"/>
        <v>411.41233048168868</v>
      </c>
    </row>
    <row r="8" spans="1:8" x14ac:dyDescent="0.3">
      <c r="A8">
        <f>50</f>
        <v>50</v>
      </c>
      <c r="B8">
        <f>'Imported Data'!D76</f>
        <v>4.1818445999999998</v>
      </c>
      <c r="C8">
        <f>'Imported Data'!D77</f>
        <v>0.1503516306290025</v>
      </c>
      <c r="D8">
        <f>'Imported Data'!C76</f>
        <v>623</v>
      </c>
      <c r="E8">
        <f>'Imported Data'!C77</f>
        <v>27.919527216627433</v>
      </c>
      <c r="G8">
        <f t="shared" si="0"/>
        <v>2605.2891857999998</v>
      </c>
      <c r="H8">
        <f t="shared" si="1"/>
        <v>149.68517933556714</v>
      </c>
    </row>
    <row r="9" spans="1:8" x14ac:dyDescent="0.3">
      <c r="A9">
        <f>0</f>
        <v>0</v>
      </c>
      <c r="B9">
        <f>'Imported Data'!D98</f>
        <v>3.6793903999999999</v>
      </c>
      <c r="C9">
        <f>'Imported Data'!D99</f>
        <v>0.18207467684249776</v>
      </c>
      <c r="D9">
        <f>'Imported Data'!C98</f>
        <v>635.4</v>
      </c>
      <c r="E9">
        <f>'Imported Data'!C99</f>
        <v>29.159903977894029</v>
      </c>
      <c r="G9">
        <f t="shared" si="0"/>
        <v>2337.8846601599998</v>
      </c>
      <c r="H9">
        <f t="shared" si="1"/>
        <v>157.78314834006309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5E7E-8981-4D14-AA81-B2E698E34CA7}">
  <dimension ref="A1"/>
  <sheetViews>
    <sheetView tabSelected="1" workbookViewId="0">
      <selection activeCell="L17" sqref="L17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DBA7-37BA-4092-9F30-245D3D584E74}">
  <dimension ref="A1:P100"/>
  <sheetViews>
    <sheetView topLeftCell="A76" workbookViewId="0">
      <selection activeCell="D99" sqref="D99"/>
    </sheetView>
  </sheetViews>
  <sheetFormatPr defaultRowHeight="14.4" x14ac:dyDescent="0.3"/>
  <sheetData>
    <row r="1" spans="1:16" x14ac:dyDescent="0.3">
      <c r="A1" t="s">
        <v>21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3">
      <c r="A3" t="s">
        <v>16</v>
      </c>
      <c r="B3">
        <v>8</v>
      </c>
      <c r="C3">
        <v>634</v>
      </c>
      <c r="D3">
        <v>2.6699069999999998</v>
      </c>
      <c r="E3">
        <v>1.102023</v>
      </c>
      <c r="F3">
        <v>4.3767E-2</v>
      </c>
      <c r="G3">
        <v>1692.7209</v>
      </c>
      <c r="H3">
        <v>1.1627099999999999</v>
      </c>
      <c r="I3">
        <v>0.16108700000000001</v>
      </c>
      <c r="J3">
        <v>6.398E-3</v>
      </c>
      <c r="K3">
        <v>0.93208599999999997</v>
      </c>
      <c r="L3">
        <v>8.7115999999999999E-2</v>
      </c>
      <c r="M3">
        <v>6.398E-3</v>
      </c>
      <c r="N3">
        <v>6312.1317250000002</v>
      </c>
      <c r="O3">
        <v>2195.519057</v>
      </c>
      <c r="P3">
        <v>87.195200999999997</v>
      </c>
    </row>
    <row r="4" spans="1:16" x14ac:dyDescent="0.3">
      <c r="A4" t="s">
        <v>17</v>
      </c>
      <c r="B4">
        <v>8</v>
      </c>
      <c r="C4">
        <v>679</v>
      </c>
      <c r="D4">
        <v>2.58799</v>
      </c>
      <c r="E4">
        <v>1.156558</v>
      </c>
      <c r="F4">
        <v>4.4385000000000001E-2</v>
      </c>
      <c r="G4">
        <v>1757.2451000000001</v>
      </c>
      <c r="H4">
        <v>1.1592979999999999</v>
      </c>
      <c r="I4">
        <v>0.12822</v>
      </c>
      <c r="J4">
        <v>4.921E-3</v>
      </c>
      <c r="K4">
        <v>0.93887500000000002</v>
      </c>
      <c r="L4">
        <v>7.4426000000000006E-2</v>
      </c>
      <c r="M4">
        <v>4.921E-3</v>
      </c>
      <c r="N4">
        <v>6333.1244479999996</v>
      </c>
      <c r="O4">
        <v>1424.3167450000001</v>
      </c>
      <c r="P4">
        <v>54.660260000000001</v>
      </c>
    </row>
    <row r="5" spans="1:16" x14ac:dyDescent="0.3">
      <c r="A5" t="s">
        <v>18</v>
      </c>
      <c r="B5">
        <v>8</v>
      </c>
      <c r="C5">
        <v>636</v>
      </c>
      <c r="D5">
        <v>2.7368429999999999</v>
      </c>
      <c r="E5">
        <v>1.0503960000000001</v>
      </c>
      <c r="F5">
        <v>4.1651000000000001E-2</v>
      </c>
      <c r="G5">
        <v>1740.6324</v>
      </c>
      <c r="H5">
        <v>1.1688149999999999</v>
      </c>
      <c r="I5">
        <v>0.33909699999999998</v>
      </c>
      <c r="J5">
        <v>1.3446E-2</v>
      </c>
      <c r="K5">
        <v>0.93571499999999996</v>
      </c>
      <c r="L5">
        <v>8.4964999999999999E-2</v>
      </c>
      <c r="M5">
        <v>1.3446E-2</v>
      </c>
      <c r="N5">
        <v>6633.5285020000001</v>
      </c>
      <c r="O5">
        <v>1136.7879190000001</v>
      </c>
      <c r="P5">
        <v>45.076573000000003</v>
      </c>
    </row>
    <row r="6" spans="1:16" x14ac:dyDescent="0.3">
      <c r="A6" t="s">
        <v>19</v>
      </c>
      <c r="B6">
        <v>8</v>
      </c>
      <c r="C6">
        <v>683</v>
      </c>
      <c r="D6">
        <v>2.6410269999999998</v>
      </c>
      <c r="E6">
        <v>1.0460069999999999</v>
      </c>
      <c r="F6">
        <v>4.0023999999999997E-2</v>
      </c>
      <c r="G6">
        <v>1803.8215</v>
      </c>
      <c r="H6">
        <v>1.1688989999999999</v>
      </c>
      <c r="I6">
        <v>0.27171299999999998</v>
      </c>
      <c r="J6">
        <v>1.0397E-2</v>
      </c>
      <c r="K6">
        <v>0.93437000000000003</v>
      </c>
      <c r="L6">
        <v>8.2956000000000002E-2</v>
      </c>
      <c r="M6">
        <v>1.0397E-2</v>
      </c>
      <c r="N6">
        <v>6154.3474150000002</v>
      </c>
      <c r="O6">
        <v>1968.678165</v>
      </c>
      <c r="P6">
        <v>75.329375999999996</v>
      </c>
    </row>
    <row r="7" spans="1:16" x14ac:dyDescent="0.3">
      <c r="A7" t="s">
        <v>20</v>
      </c>
      <c r="B7">
        <v>8</v>
      </c>
      <c r="C7">
        <v>628</v>
      </c>
      <c r="D7">
        <v>2.4950640000000002</v>
      </c>
      <c r="E7">
        <v>1.013339</v>
      </c>
      <c r="F7">
        <v>4.0437000000000001E-2</v>
      </c>
      <c r="G7">
        <v>1566.9004</v>
      </c>
      <c r="H7">
        <v>1.1633199999999999</v>
      </c>
      <c r="I7">
        <v>0.16539100000000001</v>
      </c>
      <c r="J7">
        <v>6.6E-3</v>
      </c>
      <c r="K7">
        <v>0.93436900000000001</v>
      </c>
      <c r="L7">
        <v>7.6959E-2</v>
      </c>
      <c r="M7">
        <v>6.6E-3</v>
      </c>
      <c r="N7">
        <v>6590.3292929999998</v>
      </c>
      <c r="O7">
        <v>1874.719519</v>
      </c>
      <c r="P7">
        <v>74.809453000000005</v>
      </c>
    </row>
    <row r="8" spans="1:16" x14ac:dyDescent="0.3">
      <c r="A8" t="s">
        <v>41</v>
      </c>
      <c r="B8">
        <f>AVERAGE(B3:B7)</f>
        <v>8</v>
      </c>
      <c r="C8">
        <f t="shared" ref="C8:P8" si="0">AVERAGE(C3:C7)</f>
        <v>652</v>
      </c>
      <c r="D8">
        <f t="shared" si="0"/>
        <v>2.6261662000000001</v>
      </c>
      <c r="E8">
        <f t="shared" si="0"/>
        <v>1.0736646000000001</v>
      </c>
      <c r="F8">
        <f t="shared" si="0"/>
        <v>4.2052800000000001E-2</v>
      </c>
      <c r="G8">
        <f t="shared" si="0"/>
        <v>1712.2640600000002</v>
      </c>
      <c r="H8">
        <f t="shared" si="0"/>
        <v>1.1646083999999999</v>
      </c>
      <c r="I8">
        <f t="shared" si="0"/>
        <v>0.21310159999999997</v>
      </c>
      <c r="J8">
        <f t="shared" si="0"/>
        <v>8.3523999999999994E-3</v>
      </c>
      <c r="K8">
        <f t="shared" si="0"/>
        <v>0.935083</v>
      </c>
      <c r="L8">
        <f t="shared" si="0"/>
        <v>8.1284400000000007E-2</v>
      </c>
      <c r="M8">
        <f t="shared" si="0"/>
        <v>8.3523999999999994E-3</v>
      </c>
      <c r="N8">
        <f t="shared" si="0"/>
        <v>6404.6922765999998</v>
      </c>
      <c r="O8">
        <f t="shared" si="0"/>
        <v>1720.004281</v>
      </c>
      <c r="P8">
        <f t="shared" si="0"/>
        <v>67.414172600000001</v>
      </c>
    </row>
    <row r="9" spans="1:16" x14ac:dyDescent="0.3">
      <c r="A9" t="s">
        <v>42</v>
      </c>
      <c r="B9">
        <f>STDEV(B3:B7)</f>
        <v>0</v>
      </c>
      <c r="C9">
        <f t="shared" ref="C9:P9" si="1">STDEV(C3:C7)</f>
        <v>26.67395733669828</v>
      </c>
      <c r="D9">
        <f t="shared" si="1"/>
        <v>9.0868949744673383E-2</v>
      </c>
      <c r="E9">
        <f t="shared" si="1"/>
        <v>5.6171752717001804E-2</v>
      </c>
      <c r="F9">
        <f t="shared" si="1"/>
        <v>1.9535813778801237E-3</v>
      </c>
      <c r="G9">
        <f t="shared" si="1"/>
        <v>90.447982626164759</v>
      </c>
      <c r="H9">
        <f t="shared" si="1"/>
        <v>4.1704009759254536E-3</v>
      </c>
      <c r="I9">
        <f t="shared" si="1"/>
        <v>8.8736749736509968E-2</v>
      </c>
      <c r="J9">
        <f t="shared" si="1"/>
        <v>3.4925005798138375E-3</v>
      </c>
      <c r="K9">
        <f t="shared" si="1"/>
        <v>2.4889185402499712E-3</v>
      </c>
      <c r="L9">
        <f t="shared" si="1"/>
        <v>5.387377775875753E-3</v>
      </c>
      <c r="M9">
        <f t="shared" si="1"/>
        <v>3.4925005798138375E-3</v>
      </c>
      <c r="N9">
        <f t="shared" si="1"/>
        <v>201.98334055420995</v>
      </c>
      <c r="O9">
        <f t="shared" si="1"/>
        <v>429.95995496605298</v>
      </c>
      <c r="P9">
        <f t="shared" si="1"/>
        <v>17.104534078117762</v>
      </c>
    </row>
    <row r="10" spans="1:16" x14ac:dyDescent="0.3">
      <c r="A10" t="s">
        <v>43</v>
      </c>
      <c r="B10">
        <f>(B9/(SQRT(COUNT(B3:B7))))</f>
        <v>0</v>
      </c>
      <c r="C10">
        <f t="shared" ref="C10:P10" si="2">(C9/(SQRT(COUNT(C3:C7))))</f>
        <v>11.928956366757319</v>
      </c>
      <c r="D10">
        <f t="shared" si="2"/>
        <v>4.0637829734620365E-2</v>
      </c>
      <c r="E10">
        <f t="shared" si="2"/>
        <v>2.5120771498104908E-2</v>
      </c>
      <c r="F10">
        <f t="shared" si="2"/>
        <v>8.7366815210353211E-4</v>
      </c>
      <c r="G10">
        <f t="shared" si="2"/>
        <v>40.449567515964866</v>
      </c>
      <c r="H10">
        <f t="shared" si="2"/>
        <v>1.8650600151201555E-3</v>
      </c>
      <c r="I10">
        <f t="shared" si="2"/>
        <v>3.9684280902644566E-2</v>
      </c>
      <c r="J10">
        <f t="shared" si="2"/>
        <v>1.5618937415842341E-3</v>
      </c>
      <c r="K10">
        <f t="shared" si="2"/>
        <v>1.1130782092916964E-3</v>
      </c>
      <c r="L10">
        <f t="shared" si="2"/>
        <v>2.4093085854659619E-3</v>
      </c>
      <c r="M10">
        <f t="shared" si="2"/>
        <v>1.5618937415842341E-3</v>
      </c>
      <c r="N10">
        <f t="shared" si="2"/>
        <v>90.329695960340686</v>
      </c>
      <c r="O10">
        <f t="shared" si="2"/>
        <v>192.28393738136853</v>
      </c>
      <c r="P10">
        <f t="shared" si="2"/>
        <v>7.6493801844266027</v>
      </c>
    </row>
    <row r="13" spans="1:16" x14ac:dyDescent="0.3">
      <c r="A13" t="s">
        <v>22</v>
      </c>
    </row>
    <row r="14" spans="1:16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</row>
    <row r="15" spans="1:16" x14ac:dyDescent="0.3">
      <c r="A15" t="s">
        <v>23</v>
      </c>
      <c r="B15">
        <v>8</v>
      </c>
      <c r="C15">
        <v>1018</v>
      </c>
      <c r="D15">
        <v>2.1682139999999999</v>
      </c>
      <c r="E15">
        <v>0.88198900000000002</v>
      </c>
      <c r="F15">
        <v>2.7643000000000001E-2</v>
      </c>
      <c r="G15">
        <v>2207.2413999999999</v>
      </c>
      <c r="H15">
        <v>1.1798729999999999</v>
      </c>
      <c r="I15">
        <v>0.33466000000000001</v>
      </c>
      <c r="J15">
        <v>1.0489E-2</v>
      </c>
      <c r="K15">
        <v>0.90437999999999996</v>
      </c>
      <c r="L15">
        <v>0.12361</v>
      </c>
      <c r="M15">
        <v>1.0489E-2</v>
      </c>
      <c r="N15">
        <v>7425.3194299999996</v>
      </c>
      <c r="O15">
        <v>1065.0231429999999</v>
      </c>
      <c r="P15">
        <v>33.379910000000002</v>
      </c>
    </row>
    <row r="16" spans="1:16" x14ac:dyDescent="0.3">
      <c r="A16" t="s">
        <v>24</v>
      </c>
      <c r="B16">
        <v>8</v>
      </c>
      <c r="C16">
        <v>1010</v>
      </c>
      <c r="D16">
        <v>2.20207</v>
      </c>
      <c r="E16">
        <v>0.90198900000000004</v>
      </c>
      <c r="F16">
        <v>2.8382000000000001E-2</v>
      </c>
      <c r="G16">
        <v>2224.0907000000002</v>
      </c>
      <c r="H16">
        <v>1.178682</v>
      </c>
      <c r="I16">
        <v>0.38257400000000003</v>
      </c>
      <c r="J16">
        <v>1.2038E-2</v>
      </c>
      <c r="K16">
        <v>0.90046700000000002</v>
      </c>
      <c r="L16">
        <v>0.133185</v>
      </c>
      <c r="M16">
        <v>1.2038E-2</v>
      </c>
      <c r="N16">
        <v>7321.6525680000004</v>
      </c>
      <c r="O16">
        <v>1055.5097940000001</v>
      </c>
      <c r="P16">
        <v>33.212501000000003</v>
      </c>
    </row>
    <row r="17" spans="1:16" x14ac:dyDescent="0.3">
      <c r="A17" t="s">
        <v>25</v>
      </c>
      <c r="B17">
        <v>8</v>
      </c>
      <c r="C17">
        <v>950</v>
      </c>
      <c r="D17">
        <v>2.2220650000000002</v>
      </c>
      <c r="E17">
        <v>0.90365099999999998</v>
      </c>
      <c r="F17">
        <v>2.9318E-2</v>
      </c>
      <c r="G17">
        <v>2110.9621000000002</v>
      </c>
      <c r="H17">
        <v>1.1595260000000001</v>
      </c>
      <c r="I17">
        <v>0.17825299999999999</v>
      </c>
      <c r="J17">
        <v>5.7829999999999999E-3</v>
      </c>
      <c r="K17">
        <v>0.909084</v>
      </c>
      <c r="L17">
        <v>0.12748399999999999</v>
      </c>
      <c r="M17">
        <v>5.7829999999999999E-3</v>
      </c>
      <c r="N17">
        <v>7310.6866389999996</v>
      </c>
      <c r="O17">
        <v>1117.4129820000001</v>
      </c>
      <c r="P17">
        <v>36.253664000000001</v>
      </c>
    </row>
    <row r="18" spans="1:16" x14ac:dyDescent="0.3">
      <c r="A18" t="s">
        <v>26</v>
      </c>
      <c r="B18">
        <v>8</v>
      </c>
      <c r="C18">
        <v>939</v>
      </c>
      <c r="D18">
        <v>2.2564470000000001</v>
      </c>
      <c r="E18">
        <v>0.94358399999999998</v>
      </c>
      <c r="F18">
        <v>3.0793000000000001E-2</v>
      </c>
      <c r="G18">
        <v>2118.8036999999999</v>
      </c>
      <c r="H18">
        <v>1.1733439999999999</v>
      </c>
      <c r="I18">
        <v>0.29115799999999997</v>
      </c>
      <c r="J18">
        <v>9.502E-3</v>
      </c>
      <c r="K18">
        <v>0.90949100000000005</v>
      </c>
      <c r="L18">
        <v>0.121131</v>
      </c>
      <c r="M18">
        <v>9.502E-3</v>
      </c>
      <c r="N18">
        <v>6987.3903680000003</v>
      </c>
      <c r="O18">
        <v>1152.63669</v>
      </c>
      <c r="P18">
        <v>37.614877</v>
      </c>
    </row>
    <row r="19" spans="1:16" x14ac:dyDescent="0.3">
      <c r="A19" t="s">
        <v>27</v>
      </c>
      <c r="B19">
        <v>8</v>
      </c>
      <c r="C19">
        <v>881</v>
      </c>
      <c r="D19">
        <v>2.1709309999999999</v>
      </c>
      <c r="E19">
        <v>0.87675700000000001</v>
      </c>
      <c r="F19">
        <v>2.9538999999999999E-2</v>
      </c>
      <c r="G19">
        <v>1912.5898999999999</v>
      </c>
      <c r="H19">
        <v>1.185551</v>
      </c>
      <c r="I19">
        <v>0.35241699999999998</v>
      </c>
      <c r="J19">
        <v>1.1873E-2</v>
      </c>
      <c r="K19">
        <v>0.915273</v>
      </c>
      <c r="L19">
        <v>0.112217</v>
      </c>
      <c r="M19">
        <v>1.1873E-2</v>
      </c>
      <c r="N19">
        <v>6930.9809130000003</v>
      </c>
      <c r="O19">
        <v>1636.6374060000001</v>
      </c>
      <c r="P19">
        <v>55.139715000000002</v>
      </c>
    </row>
    <row r="20" spans="1:16" x14ac:dyDescent="0.3">
      <c r="A20" t="s">
        <v>41</v>
      </c>
      <c r="B20">
        <f>AVERAGE(B15:B19)</f>
        <v>8</v>
      </c>
      <c r="C20">
        <f t="shared" ref="C20" si="3">AVERAGE(C15:C19)</f>
        <v>959.6</v>
      </c>
      <c r="D20">
        <f t="shared" ref="D20" si="4">AVERAGE(D15:D19)</f>
        <v>2.2039453999999998</v>
      </c>
      <c r="E20">
        <f t="shared" ref="E20" si="5">AVERAGE(E15:E19)</f>
        <v>0.90159400000000001</v>
      </c>
      <c r="F20">
        <f t="shared" ref="F20" si="6">AVERAGE(F15:F19)</f>
        <v>2.9135000000000001E-2</v>
      </c>
      <c r="G20">
        <f t="shared" ref="G20" si="7">AVERAGE(G15:G19)</f>
        <v>2114.73756</v>
      </c>
      <c r="H20">
        <f t="shared" ref="H20" si="8">AVERAGE(H15:H19)</f>
        <v>1.1753952000000001</v>
      </c>
      <c r="I20">
        <f t="shared" ref="I20" si="9">AVERAGE(I15:I19)</f>
        <v>0.30781239999999999</v>
      </c>
      <c r="J20">
        <f t="shared" ref="J20" si="10">AVERAGE(J15:J19)</f>
        <v>9.9369999999999997E-3</v>
      </c>
      <c r="K20">
        <f t="shared" ref="K20" si="11">AVERAGE(K15:K19)</f>
        <v>0.90773900000000007</v>
      </c>
      <c r="L20">
        <f t="shared" ref="L20" si="12">AVERAGE(L15:L19)</f>
        <v>0.12352540000000001</v>
      </c>
      <c r="M20">
        <f t="shared" ref="M20" si="13">AVERAGE(M15:M19)</f>
        <v>9.9369999999999997E-3</v>
      </c>
      <c r="N20">
        <f t="shared" ref="N20" si="14">AVERAGE(N15:N19)</f>
        <v>7195.2059835999999</v>
      </c>
      <c r="O20">
        <f t="shared" ref="O20" si="15">AVERAGE(O15:O19)</f>
        <v>1205.4440030000001</v>
      </c>
      <c r="P20">
        <f t="shared" ref="P20" si="16">AVERAGE(P15:P19)</f>
        <v>39.1201334</v>
      </c>
    </row>
    <row r="21" spans="1:16" x14ac:dyDescent="0.3">
      <c r="A21" t="s">
        <v>42</v>
      </c>
      <c r="B21">
        <f>STDEV(B15:B19)</f>
        <v>0</v>
      </c>
      <c r="C21">
        <f t="shared" ref="C21:P21" si="17">STDEV(C15:C19)</f>
        <v>56.225439082322872</v>
      </c>
      <c r="D21">
        <f t="shared" si="17"/>
        <v>3.6928778023379107E-2</v>
      </c>
      <c r="E21">
        <f t="shared" si="17"/>
        <v>2.6309598856691055E-2</v>
      </c>
      <c r="F21">
        <f t="shared" si="17"/>
        <v>1.1977835781141765E-3</v>
      </c>
      <c r="G21">
        <f t="shared" si="17"/>
        <v>123.9047352593839</v>
      </c>
      <c r="H21">
        <f t="shared" si="17"/>
        <v>9.8746259524095208E-3</v>
      </c>
      <c r="I21">
        <f t="shared" si="17"/>
        <v>7.962830522056831E-2</v>
      </c>
      <c r="J21">
        <f t="shared" si="17"/>
        <v>2.5451886963445366E-3</v>
      </c>
      <c r="K21">
        <f t="shared" si="17"/>
        <v>5.6081313732829095E-3</v>
      </c>
      <c r="L21">
        <f t="shared" si="17"/>
        <v>7.7877886013938491E-3</v>
      </c>
      <c r="M21">
        <f t="shared" si="17"/>
        <v>2.5451886963445366E-3</v>
      </c>
      <c r="N21">
        <f t="shared" si="17"/>
        <v>220.95188204273515</v>
      </c>
      <c r="O21">
        <f t="shared" si="17"/>
        <v>244.26630380943769</v>
      </c>
      <c r="P21">
        <f t="shared" si="17"/>
        <v>9.150952457878029</v>
      </c>
    </row>
    <row r="22" spans="1:16" x14ac:dyDescent="0.3">
      <c r="A22" t="s">
        <v>43</v>
      </c>
      <c r="B22">
        <f>(B21/(SQRT(COUNT(B15:B19))))</f>
        <v>0</v>
      </c>
      <c r="C22">
        <f t="shared" ref="C22" si="18">(C21/(SQRT(COUNT(C15:C19))))</f>
        <v>25.144780770569465</v>
      </c>
      <c r="D22">
        <f t="shared" ref="D22" si="19">(D21/(SQRT(COUNT(D15:D19))))</f>
        <v>1.65150515972552E-2</v>
      </c>
      <c r="E22">
        <f t="shared" ref="E22" si="20">(E21/(SQRT(COUNT(E15:E19))))</f>
        <v>1.1766010300862389E-2</v>
      </c>
      <c r="F22">
        <f t="shared" ref="F22" si="21">(F21/(SQRT(COUNT(F15:F19))))</f>
        <v>5.3566510059924557E-4</v>
      </c>
      <c r="G22">
        <f t="shared" ref="G22" si="22">(G21/(SQRT(COUNT(G15:G19))))</f>
        <v>55.411882154819487</v>
      </c>
      <c r="H22">
        <f t="shared" ref="H22" si="23">(H21/(SQRT(COUNT(H15:H19))))</f>
        <v>4.4160669763942577E-3</v>
      </c>
      <c r="I22">
        <f t="shared" ref="I22" si="24">(I21/(SQRT(COUNT(I15:I19))))</f>
        <v>3.5610860681258426E-2</v>
      </c>
      <c r="J22">
        <f t="shared" ref="J22" si="25">(J21/(SQRT(COUNT(J15:J19))))</f>
        <v>1.1382429881180909E-3</v>
      </c>
      <c r="K22">
        <f t="shared" ref="K22" si="26">(K21/(SQRT(COUNT(K15:K19))))</f>
        <v>2.5080325954819666E-3</v>
      </c>
      <c r="L22">
        <f t="shared" ref="L22" si="27">(L21/(SQRT(COUNT(L15:L19))))</f>
        <v>3.4828049414229317E-3</v>
      </c>
      <c r="M22">
        <f t="shared" ref="M22" si="28">(M21/(SQRT(COUNT(M15:M19))))</f>
        <v>1.1382429881180909E-3</v>
      </c>
      <c r="N22">
        <f t="shared" ref="N22" si="29">(N21/(SQRT(COUNT(N15:N19))))</f>
        <v>98.812685600814177</v>
      </c>
      <c r="O22">
        <f t="shared" ref="O22" si="30">(O21/(SQRT(COUNT(O15:O19))))</f>
        <v>109.2392119861037</v>
      </c>
      <c r="P22">
        <f t="shared" ref="P22" si="31">(P21/(SQRT(COUNT(P15:P19))))</f>
        <v>4.0924303509368105</v>
      </c>
    </row>
    <row r="25" spans="1:16" x14ac:dyDescent="0.3">
      <c r="A25" t="s">
        <v>28</v>
      </c>
    </row>
    <row r="26" spans="1:16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 t="s">
        <v>14</v>
      </c>
      <c r="P26" t="s">
        <v>15</v>
      </c>
    </row>
    <row r="27" spans="1:16" x14ac:dyDescent="0.3">
      <c r="A27" t="s">
        <v>29</v>
      </c>
      <c r="B27">
        <v>8</v>
      </c>
      <c r="C27">
        <v>1028</v>
      </c>
      <c r="D27">
        <v>1.843021</v>
      </c>
      <c r="E27">
        <v>1.0489649999999999</v>
      </c>
      <c r="F27">
        <v>3.2716000000000002E-2</v>
      </c>
      <c r="G27">
        <v>1894.6251999999999</v>
      </c>
      <c r="H27">
        <v>1.2066209999999999</v>
      </c>
      <c r="I27">
        <v>0.49998700000000001</v>
      </c>
      <c r="J27">
        <v>1.5594E-2</v>
      </c>
      <c r="K27">
        <v>0.84231800000000001</v>
      </c>
      <c r="L27">
        <v>0.18174000000000001</v>
      </c>
      <c r="M27">
        <v>1.5594E-2</v>
      </c>
      <c r="N27">
        <v>5119.4097039999997</v>
      </c>
      <c r="O27">
        <v>819.309573</v>
      </c>
      <c r="P27">
        <v>25.553564000000001</v>
      </c>
    </row>
    <row r="28" spans="1:16" x14ac:dyDescent="0.3">
      <c r="A28" t="s">
        <v>30</v>
      </c>
      <c r="B28">
        <v>8</v>
      </c>
      <c r="C28">
        <v>1037</v>
      </c>
      <c r="D28">
        <v>1.8349949999999999</v>
      </c>
      <c r="E28">
        <v>0.92708299999999999</v>
      </c>
      <c r="F28">
        <v>2.8788999999999999E-2</v>
      </c>
      <c r="G28">
        <v>1902.8893</v>
      </c>
      <c r="H28">
        <v>1.164822</v>
      </c>
      <c r="I28">
        <v>0.34232299999999999</v>
      </c>
      <c r="J28">
        <v>1.0630000000000001E-2</v>
      </c>
      <c r="K28">
        <v>0.83599699999999999</v>
      </c>
      <c r="L28">
        <v>0.18040100000000001</v>
      </c>
      <c r="M28">
        <v>1.0630000000000001E-2</v>
      </c>
      <c r="N28">
        <v>5046.5485920000001</v>
      </c>
      <c r="O28">
        <v>756.72528499999999</v>
      </c>
      <c r="P28">
        <v>23.498971999999998</v>
      </c>
    </row>
    <row r="29" spans="1:16" x14ac:dyDescent="0.3">
      <c r="A29" t="s">
        <v>31</v>
      </c>
      <c r="B29">
        <v>8</v>
      </c>
      <c r="C29">
        <v>1045</v>
      </c>
      <c r="D29">
        <v>1.8682989999999999</v>
      </c>
      <c r="E29">
        <v>1.029984</v>
      </c>
      <c r="F29">
        <v>3.1862000000000001E-2</v>
      </c>
      <c r="G29">
        <v>1952.3724999999999</v>
      </c>
      <c r="H29">
        <v>1.1861349999999999</v>
      </c>
      <c r="I29">
        <v>0.45027299999999998</v>
      </c>
      <c r="J29">
        <v>1.3929E-2</v>
      </c>
      <c r="K29">
        <v>0.82880900000000002</v>
      </c>
      <c r="L29">
        <v>0.18190600000000001</v>
      </c>
      <c r="M29">
        <v>1.3929E-2</v>
      </c>
      <c r="N29">
        <v>5019.0800440000003</v>
      </c>
      <c r="O29">
        <v>797.96994700000005</v>
      </c>
      <c r="P29">
        <v>24.684730999999999</v>
      </c>
    </row>
    <row r="30" spans="1:16" x14ac:dyDescent="0.3">
      <c r="A30" t="s">
        <v>32</v>
      </c>
      <c r="B30">
        <v>8</v>
      </c>
      <c r="C30">
        <v>1022</v>
      </c>
      <c r="D30">
        <v>1.775145</v>
      </c>
      <c r="E30">
        <v>0.97107399999999999</v>
      </c>
      <c r="F30">
        <v>3.0376E-2</v>
      </c>
      <c r="G30">
        <v>1814.1981000000001</v>
      </c>
      <c r="H30">
        <v>1.2294369999999999</v>
      </c>
      <c r="I30">
        <v>0.56584800000000002</v>
      </c>
      <c r="J30">
        <v>1.77E-2</v>
      </c>
      <c r="K30">
        <v>0.84218099999999996</v>
      </c>
      <c r="L30">
        <v>0.17279</v>
      </c>
      <c r="M30">
        <v>1.77E-2</v>
      </c>
      <c r="N30">
        <v>5020.7832490000001</v>
      </c>
      <c r="O30">
        <v>808.306511</v>
      </c>
      <c r="P30">
        <v>25.284282000000001</v>
      </c>
    </row>
    <row r="31" spans="1:16" x14ac:dyDescent="0.3">
      <c r="A31" t="s">
        <v>33</v>
      </c>
      <c r="B31">
        <v>8</v>
      </c>
      <c r="C31">
        <v>1153</v>
      </c>
      <c r="D31">
        <v>1.772653</v>
      </c>
      <c r="E31">
        <v>0.92483199999999999</v>
      </c>
      <c r="F31">
        <v>2.7236E-2</v>
      </c>
      <c r="G31">
        <v>2043.8690999999999</v>
      </c>
      <c r="H31">
        <v>1.190337</v>
      </c>
      <c r="I31">
        <v>0.36665999999999999</v>
      </c>
      <c r="J31">
        <v>1.0798E-2</v>
      </c>
      <c r="K31">
        <v>0.85710600000000003</v>
      </c>
      <c r="L31">
        <v>0.167797</v>
      </c>
      <c r="M31">
        <v>1.0798E-2</v>
      </c>
      <c r="N31">
        <v>5079.4633000000003</v>
      </c>
      <c r="O31">
        <v>743.85082499999999</v>
      </c>
      <c r="P31">
        <v>21.906409</v>
      </c>
    </row>
    <row r="32" spans="1:16" x14ac:dyDescent="0.3">
      <c r="A32" t="s">
        <v>41</v>
      </c>
      <c r="B32">
        <f>AVERAGE(B27:B31)</f>
        <v>8</v>
      </c>
      <c r="C32">
        <f t="shared" ref="C32" si="32">AVERAGE(C27:C31)</f>
        <v>1057</v>
      </c>
      <c r="D32">
        <f t="shared" ref="D32" si="33">AVERAGE(D27:D31)</f>
        <v>1.8188226000000001</v>
      </c>
      <c r="E32">
        <f t="shared" ref="E32" si="34">AVERAGE(E27:E31)</f>
        <v>0.98038760000000003</v>
      </c>
      <c r="F32">
        <f t="shared" ref="F32" si="35">AVERAGE(F27:F31)</f>
        <v>3.0195800000000002E-2</v>
      </c>
      <c r="G32">
        <f t="shared" ref="G32" si="36">AVERAGE(G27:G31)</f>
        <v>1921.5908400000001</v>
      </c>
      <c r="H32">
        <f t="shared" ref="H32" si="37">AVERAGE(H27:H31)</f>
        <v>1.1954704</v>
      </c>
      <c r="I32">
        <f t="shared" ref="I32" si="38">AVERAGE(I27:I31)</f>
        <v>0.44501819999999997</v>
      </c>
      <c r="J32">
        <f t="shared" ref="J32" si="39">AVERAGE(J27:J31)</f>
        <v>1.3730200000000001E-2</v>
      </c>
      <c r="K32">
        <f t="shared" ref="K32" si="40">AVERAGE(K27:K31)</f>
        <v>0.84128219999999998</v>
      </c>
      <c r="L32">
        <f t="shared" ref="L32" si="41">AVERAGE(L27:L31)</f>
        <v>0.1769268</v>
      </c>
      <c r="M32">
        <f t="shared" ref="M32" si="42">AVERAGE(M27:M31)</f>
        <v>1.3730200000000001E-2</v>
      </c>
      <c r="N32">
        <f t="shared" ref="N32" si="43">AVERAGE(N27:N31)</f>
        <v>5057.0569777999999</v>
      </c>
      <c r="O32">
        <f t="shared" ref="O32" si="44">AVERAGE(O27:O31)</f>
        <v>785.23242820000007</v>
      </c>
      <c r="P32">
        <f t="shared" ref="P32" si="45">AVERAGE(P27:P31)</f>
        <v>24.185591600000002</v>
      </c>
    </row>
    <row r="33" spans="1:16" x14ac:dyDescent="0.3">
      <c r="A33" t="s">
        <v>42</v>
      </c>
      <c r="B33">
        <f>STDEV(B27:B31)</f>
        <v>0</v>
      </c>
      <c r="C33">
        <f t="shared" ref="C33:P33" si="46">STDEV(C27:C31)</f>
        <v>54.373706881175572</v>
      </c>
      <c r="D33">
        <f t="shared" si="46"/>
        <v>4.2820520627381418E-2</v>
      </c>
      <c r="E33">
        <f t="shared" si="46"/>
        <v>5.7396016632689749E-2</v>
      </c>
      <c r="F33">
        <f t="shared" si="46"/>
        <v>2.2304486544191069E-3</v>
      </c>
      <c r="G33">
        <f t="shared" si="46"/>
        <v>84.423896801604627</v>
      </c>
      <c r="H33">
        <f t="shared" si="46"/>
        <v>2.4139654653702023E-2</v>
      </c>
      <c r="I33">
        <f t="shared" si="46"/>
        <v>9.2648980127684299E-2</v>
      </c>
      <c r="J33">
        <f t="shared" si="46"/>
        <v>3.061111758822275E-3</v>
      </c>
      <c r="K33">
        <f t="shared" si="46"/>
        <v>1.043776109613552E-2</v>
      </c>
      <c r="L33">
        <f t="shared" si="46"/>
        <v>6.3343459567661809E-3</v>
      </c>
      <c r="M33">
        <f t="shared" si="46"/>
        <v>3.061111758822275E-3</v>
      </c>
      <c r="N33">
        <f t="shared" si="46"/>
        <v>42.598012902979121</v>
      </c>
      <c r="O33">
        <f t="shared" si="46"/>
        <v>33.094575751886204</v>
      </c>
      <c r="P33">
        <f t="shared" si="46"/>
        <v>1.4994773274455677</v>
      </c>
    </row>
    <row r="34" spans="1:16" x14ac:dyDescent="0.3">
      <c r="A34" t="s">
        <v>43</v>
      </c>
      <c r="B34">
        <f>(B33/(SQRT(COUNT(B27:B31))))</f>
        <v>0</v>
      </c>
      <c r="C34">
        <f t="shared" ref="C34" si="47">(C33/(SQRT(COUNT(C27:C31))))</f>
        <v>24.316660954991331</v>
      </c>
      <c r="D34">
        <f t="shared" ref="D34" si="48">(D33/(SQRT(COUNT(D27:D31))))</f>
        <v>1.9149918990951358E-2</v>
      </c>
      <c r="E34">
        <f t="shared" ref="E34" si="49">(E33/(SQRT(COUNT(E27:E31))))</f>
        <v>2.5668278965680569E-2</v>
      </c>
      <c r="F34">
        <f t="shared" ref="F34" si="50">(F33/(SQRT(COUNT(F27:F31))))</f>
        <v>9.9748696232081191E-4</v>
      </c>
      <c r="G34">
        <f t="shared" ref="G34" si="51">(G33/(SQRT(COUNT(G27:G31))))</f>
        <v>37.755514434763001</v>
      </c>
      <c r="H34">
        <f t="shared" ref="H34" si="52">(H33/(SQRT(COUNT(H27:H31))))</f>
        <v>1.0795581751809374E-2</v>
      </c>
      <c r="I34">
        <f t="shared" ref="I34" si="53">(I33/(SQRT(COUNT(I27:I31))))</f>
        <v>4.1433883522305849E-2</v>
      </c>
      <c r="J34">
        <f t="shared" ref="J34" si="54">(J33/(SQRT(COUNT(J27:J31))))</f>
        <v>1.3689707958901096E-3</v>
      </c>
      <c r="K34">
        <f t="shared" ref="K34" si="55">(K33/(SQRT(COUNT(K27:K31))))</f>
        <v>4.6679086687723475E-3</v>
      </c>
      <c r="L34">
        <f t="shared" ref="L34" si="56">(L33/(SQRT(COUNT(L27:L31))))</f>
        <v>2.8328056304660247E-3</v>
      </c>
      <c r="M34">
        <f t="shared" ref="M34" si="57">(M33/(SQRT(COUNT(M27:M31))))</f>
        <v>1.3689707958901096E-3</v>
      </c>
      <c r="N34">
        <f t="shared" ref="N34" si="58">(N33/(SQRT(COUNT(N27:N31))))</f>
        <v>19.050410511494892</v>
      </c>
      <c r="O34">
        <f t="shared" ref="O34" si="59">(O33/(SQRT(COUNT(O27:O31))))</f>
        <v>14.800344213546753</v>
      </c>
      <c r="P34">
        <f t="shared" ref="P34" si="60">(P33/(SQRT(COUNT(P27:P31))))</f>
        <v>0.67058664697760006</v>
      </c>
    </row>
    <row r="36" spans="1:16" x14ac:dyDescent="0.3">
      <c r="A36" t="s">
        <v>39</v>
      </c>
    </row>
    <row r="37" spans="1:16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</row>
    <row r="38" spans="1:16" x14ac:dyDescent="0.3">
      <c r="A38" t="s">
        <v>34</v>
      </c>
      <c r="B38">
        <v>8</v>
      </c>
      <c r="C38">
        <v>1326</v>
      </c>
      <c r="D38">
        <v>2.0330729999999999</v>
      </c>
      <c r="E38">
        <v>1.097056</v>
      </c>
      <c r="F38">
        <v>3.0127000000000001E-2</v>
      </c>
      <c r="G38">
        <v>2695.8542000000002</v>
      </c>
      <c r="H38">
        <v>1.1786920000000001</v>
      </c>
      <c r="I38">
        <v>0.49392799999999998</v>
      </c>
      <c r="J38">
        <v>1.3564E-2</v>
      </c>
      <c r="K38">
        <v>0.82743500000000003</v>
      </c>
      <c r="L38">
        <v>0.17455499999999999</v>
      </c>
      <c r="M38">
        <v>1.3564E-2</v>
      </c>
      <c r="N38">
        <v>5602.6669620000002</v>
      </c>
      <c r="O38">
        <v>843.06393000000003</v>
      </c>
      <c r="P38">
        <v>23.152011999999999</v>
      </c>
    </row>
    <row r="39" spans="1:16" x14ac:dyDescent="0.3">
      <c r="A39" t="s">
        <v>35</v>
      </c>
      <c r="B39">
        <v>8</v>
      </c>
      <c r="C39">
        <v>1286</v>
      </c>
      <c r="D39">
        <v>2.071577</v>
      </c>
      <c r="E39">
        <v>1.112314</v>
      </c>
      <c r="F39">
        <v>3.1016999999999999E-2</v>
      </c>
      <c r="G39">
        <v>2664.0484000000001</v>
      </c>
      <c r="H39">
        <v>1.186301</v>
      </c>
      <c r="I39">
        <v>0.55117499999999997</v>
      </c>
      <c r="J39">
        <v>1.537E-2</v>
      </c>
      <c r="K39">
        <v>0.83302500000000002</v>
      </c>
      <c r="L39">
        <v>0.17278399999999999</v>
      </c>
      <c r="M39">
        <v>1.537E-2</v>
      </c>
      <c r="N39">
        <v>5606.63778</v>
      </c>
      <c r="O39">
        <v>811.41462799999999</v>
      </c>
      <c r="P39">
        <v>22.626759</v>
      </c>
    </row>
    <row r="40" spans="1:16" x14ac:dyDescent="0.3">
      <c r="A40" t="s">
        <v>36</v>
      </c>
      <c r="B40">
        <v>8</v>
      </c>
      <c r="C40">
        <v>1238</v>
      </c>
      <c r="D40">
        <v>2.133632</v>
      </c>
      <c r="E40">
        <v>1.1425700000000001</v>
      </c>
      <c r="F40">
        <v>3.2473000000000002E-2</v>
      </c>
      <c r="G40">
        <v>2641.4362000000001</v>
      </c>
      <c r="H40">
        <v>1.1585510000000001</v>
      </c>
      <c r="I40">
        <v>0.44008599999999998</v>
      </c>
      <c r="J40">
        <v>1.2508E-2</v>
      </c>
      <c r="K40">
        <v>0.82790200000000003</v>
      </c>
      <c r="L40">
        <v>0.17415</v>
      </c>
      <c r="M40">
        <v>1.2508E-2</v>
      </c>
      <c r="N40">
        <v>5904.8500050000002</v>
      </c>
      <c r="O40">
        <v>908.835646</v>
      </c>
      <c r="P40">
        <v>25.830037000000001</v>
      </c>
    </row>
    <row r="41" spans="1:16" x14ac:dyDescent="0.3">
      <c r="A41" t="s">
        <v>37</v>
      </c>
      <c r="B41">
        <v>8</v>
      </c>
      <c r="C41">
        <v>1206</v>
      </c>
      <c r="D41">
        <v>2.1487660000000002</v>
      </c>
      <c r="E41">
        <v>1.174501</v>
      </c>
      <c r="F41">
        <v>3.3820000000000003E-2</v>
      </c>
      <c r="G41">
        <v>2591.4122000000002</v>
      </c>
      <c r="H41">
        <v>1.162004</v>
      </c>
      <c r="I41">
        <v>0.45414900000000002</v>
      </c>
      <c r="J41">
        <v>1.3077E-2</v>
      </c>
      <c r="K41">
        <v>0.82048299999999996</v>
      </c>
      <c r="L41">
        <v>0.182424</v>
      </c>
      <c r="M41">
        <v>1.3077E-2</v>
      </c>
      <c r="N41">
        <v>5463.0900959999999</v>
      </c>
      <c r="O41">
        <v>798.15668400000004</v>
      </c>
      <c r="P41">
        <v>22.983412000000001</v>
      </c>
    </row>
    <row r="42" spans="1:16" x14ac:dyDescent="0.3">
      <c r="A42" t="s">
        <v>38</v>
      </c>
      <c r="B42">
        <v>8</v>
      </c>
      <c r="C42">
        <v>1180</v>
      </c>
      <c r="D42">
        <v>2.1170260000000001</v>
      </c>
      <c r="E42">
        <v>1.121497</v>
      </c>
      <c r="F42">
        <v>3.2648000000000003E-2</v>
      </c>
      <c r="G42">
        <v>2498.0904</v>
      </c>
      <c r="H42">
        <v>1.180841</v>
      </c>
      <c r="I42">
        <v>0.506135</v>
      </c>
      <c r="J42">
        <v>1.4734000000000001E-2</v>
      </c>
      <c r="K42">
        <v>0.83174899999999996</v>
      </c>
      <c r="L42">
        <v>0.176263</v>
      </c>
      <c r="M42">
        <v>1.4734000000000001E-2</v>
      </c>
      <c r="N42">
        <v>5664.4888549999996</v>
      </c>
      <c r="O42">
        <v>898.24083099999996</v>
      </c>
      <c r="P42">
        <v>26.148802</v>
      </c>
    </row>
    <row r="43" spans="1:16" x14ac:dyDescent="0.3">
      <c r="A43" t="s">
        <v>41</v>
      </c>
      <c r="B43">
        <f>AVERAGE(B38:B42)</f>
        <v>8</v>
      </c>
      <c r="C43">
        <f t="shared" ref="C43" si="61">AVERAGE(C38:C42)</f>
        <v>1247.2</v>
      </c>
      <c r="D43">
        <f t="shared" ref="D43" si="62">AVERAGE(D38:D42)</f>
        <v>2.1008147999999998</v>
      </c>
      <c r="E43">
        <f t="shared" ref="E43" si="63">AVERAGE(E38:E42)</f>
        <v>1.1295876</v>
      </c>
      <c r="F43">
        <f t="shared" ref="F43" si="64">AVERAGE(F38:F42)</f>
        <v>3.2017000000000004E-2</v>
      </c>
      <c r="G43">
        <f t="shared" ref="G43" si="65">AVERAGE(G38:G42)</f>
        <v>2618.1682800000003</v>
      </c>
      <c r="H43">
        <f t="shared" ref="H43" si="66">AVERAGE(H38:H42)</f>
        <v>1.1732778000000001</v>
      </c>
      <c r="I43">
        <f t="shared" ref="I43" si="67">AVERAGE(I38:I42)</f>
        <v>0.48909459999999993</v>
      </c>
      <c r="J43">
        <f t="shared" ref="J43" si="68">AVERAGE(J38:J42)</f>
        <v>1.3850599999999999E-2</v>
      </c>
      <c r="K43">
        <f t="shared" ref="K43" si="69">AVERAGE(K38:K42)</f>
        <v>0.82811880000000004</v>
      </c>
      <c r="L43">
        <f t="shared" ref="L43" si="70">AVERAGE(L38:L42)</f>
        <v>0.1760352</v>
      </c>
      <c r="M43">
        <f t="shared" ref="M43" si="71">AVERAGE(M38:M42)</f>
        <v>1.3850599999999999E-2</v>
      </c>
      <c r="N43">
        <f t="shared" ref="N43" si="72">AVERAGE(N38:N42)</f>
        <v>5648.3467395999996</v>
      </c>
      <c r="O43">
        <f t="shared" ref="O43" si="73">AVERAGE(O38:O42)</f>
        <v>851.9423438</v>
      </c>
      <c r="P43">
        <f t="shared" ref="P43" si="74">AVERAGE(P38:P42)</f>
        <v>24.148204400000001</v>
      </c>
    </row>
    <row r="44" spans="1:16" x14ac:dyDescent="0.3">
      <c r="A44" t="s">
        <v>42</v>
      </c>
      <c r="B44">
        <f>STDEV(B38:B42)</f>
        <v>0</v>
      </c>
      <c r="C44">
        <f t="shared" ref="C44:P44" si="75">STDEV(C38:C42)</f>
        <v>59.187836588272091</v>
      </c>
      <c r="D44">
        <f t="shared" si="75"/>
        <v>4.7652097589717994E-2</v>
      </c>
      <c r="E44">
        <f t="shared" si="75"/>
        <v>3.00328831166773E-2</v>
      </c>
      <c r="F44">
        <f t="shared" si="75"/>
        <v>1.4516375236263367E-3</v>
      </c>
      <c r="G44">
        <f t="shared" si="75"/>
        <v>77.162278285519847</v>
      </c>
      <c r="H44">
        <f t="shared" si="75"/>
        <v>1.2248433561072192E-2</v>
      </c>
      <c r="I44">
        <f t="shared" si="75"/>
        <v>4.4132615164977469E-2</v>
      </c>
      <c r="J44">
        <f t="shared" si="75"/>
        <v>1.1802693760324379E-3</v>
      </c>
      <c r="K44">
        <f t="shared" si="75"/>
        <v>4.9007442496012878E-3</v>
      </c>
      <c r="L44">
        <f t="shared" si="75"/>
        <v>3.781002869610129E-3</v>
      </c>
      <c r="M44">
        <f t="shared" si="75"/>
        <v>1.1802693760324379E-3</v>
      </c>
      <c r="N44">
        <f t="shared" si="75"/>
        <v>161.40074073628597</v>
      </c>
      <c r="O44">
        <f t="shared" si="75"/>
        <v>49.986540518223542</v>
      </c>
      <c r="P44">
        <f t="shared" si="75"/>
        <v>1.6952056209826878</v>
      </c>
    </row>
    <row r="45" spans="1:16" x14ac:dyDescent="0.3">
      <c r="A45" t="s">
        <v>43</v>
      </c>
      <c r="B45">
        <f>(B44/(SQRT(COUNT(B38:B42))))</f>
        <v>0</v>
      </c>
      <c r="C45">
        <f t="shared" ref="C45" si="76">(C44/(SQRT(COUNT(C38:C42))))</f>
        <v>26.469605210505126</v>
      </c>
      <c r="D45">
        <f t="shared" ref="D45" si="77">(D44/(SQRT(COUNT(D38:D42))))</f>
        <v>2.1310665896212663E-2</v>
      </c>
      <c r="E45">
        <f t="shared" ref="E45" si="78">(E44/(SQRT(COUNT(E38:E42))))</f>
        <v>1.3431113641839238E-2</v>
      </c>
      <c r="F45">
        <f t="shared" ref="F45" si="79">(F44/(SQRT(COUNT(F38:F42))))</f>
        <v>6.4919203630358919E-4</v>
      </c>
      <c r="G45">
        <f t="shared" ref="G45" si="80">(G44/(SQRT(COUNT(G38:G42))))</f>
        <v>34.50801990903566</v>
      </c>
      <c r="H45">
        <f t="shared" ref="H45" si="81">(H44/(SQRT(COUNT(H38:H42))))</f>
        <v>5.4776660120894483E-3</v>
      </c>
      <c r="I45">
        <f t="shared" ref="I45" si="82">(I44/(SQRT(COUNT(I38:I42))))</f>
        <v>1.9736705506745542E-2</v>
      </c>
      <c r="J45">
        <f t="shared" ref="J45" si="83">(J44/(SQRT(COUNT(J38:J42))))</f>
        <v>5.278325113139584E-4</v>
      </c>
      <c r="K45">
        <f t="shared" ref="K45" si="84">(K44/(SQRT(COUNT(K38:K42))))</f>
        <v>2.191679456489935E-3</v>
      </c>
      <c r="L45">
        <f t="shared" ref="L45" si="85">(L44/(SQRT(COUNT(L38:L42))))</f>
        <v>1.6909158879140043E-3</v>
      </c>
      <c r="M45">
        <f t="shared" ref="M45" si="86">(M44/(SQRT(COUNT(M38:M42))))</f>
        <v>5.278325113139584E-4</v>
      </c>
      <c r="N45">
        <f t="shared" ref="N45" si="87">(N44/(SQRT(COUNT(N38:N42))))</f>
        <v>72.180605581030974</v>
      </c>
      <c r="O45">
        <f t="shared" ref="O45" si="88">(O44/(SQRT(COUNT(O38:O42))))</f>
        <v>22.354660511759079</v>
      </c>
      <c r="P45">
        <f t="shared" ref="P45" si="89">(P44/(SQRT(COUNT(P38:P42))))</f>
        <v>0.75811900087140671</v>
      </c>
    </row>
    <row r="47" spans="1:16" x14ac:dyDescent="0.3">
      <c r="A47" t="s">
        <v>40</v>
      </c>
    </row>
    <row r="48" spans="1:16" x14ac:dyDescent="0.3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</v>
      </c>
      <c r="I48" t="s">
        <v>8</v>
      </c>
      <c r="J48" t="s">
        <v>9</v>
      </c>
      <c r="K48" t="s">
        <v>10</v>
      </c>
      <c r="L48" t="s">
        <v>11</v>
      </c>
      <c r="M48" t="s">
        <v>12</v>
      </c>
      <c r="N48" t="s">
        <v>13</v>
      </c>
      <c r="O48" t="s">
        <v>14</v>
      </c>
      <c r="P48" t="s">
        <v>15</v>
      </c>
    </row>
    <row r="49" spans="1:16" x14ac:dyDescent="0.3">
      <c r="A49" t="s">
        <v>44</v>
      </c>
      <c r="B49">
        <v>8</v>
      </c>
      <c r="C49">
        <v>744</v>
      </c>
      <c r="D49">
        <v>2.6392389999999999</v>
      </c>
      <c r="E49">
        <v>1.402064</v>
      </c>
      <c r="F49">
        <v>5.1402000000000003E-2</v>
      </c>
      <c r="G49">
        <v>1963.5941</v>
      </c>
      <c r="H49">
        <v>1.167306</v>
      </c>
      <c r="I49">
        <v>0.25866699999999998</v>
      </c>
      <c r="J49">
        <v>9.4830000000000001E-3</v>
      </c>
      <c r="K49">
        <v>0.89628099999999999</v>
      </c>
      <c r="L49">
        <v>0.11959500000000001</v>
      </c>
      <c r="M49">
        <v>9.4830000000000001E-3</v>
      </c>
      <c r="N49">
        <v>6326.3293039999999</v>
      </c>
      <c r="O49">
        <v>1125.7021990000001</v>
      </c>
      <c r="P49">
        <v>41.270245000000003</v>
      </c>
    </row>
    <row r="50" spans="1:16" x14ac:dyDescent="0.3">
      <c r="A50" t="s">
        <v>45</v>
      </c>
      <c r="B50">
        <v>8</v>
      </c>
      <c r="C50">
        <v>815</v>
      </c>
      <c r="D50">
        <v>2.6701169999999999</v>
      </c>
      <c r="E50">
        <v>1.330301</v>
      </c>
      <c r="F50">
        <v>4.6598000000000001E-2</v>
      </c>
      <c r="G50">
        <v>2176.1453999999999</v>
      </c>
      <c r="H50">
        <v>1.147367</v>
      </c>
      <c r="I50">
        <v>0.24784600000000001</v>
      </c>
      <c r="J50">
        <v>8.6820000000000005E-3</v>
      </c>
      <c r="K50">
        <v>0.89410800000000001</v>
      </c>
      <c r="L50">
        <v>0.12453400000000001</v>
      </c>
      <c r="M50">
        <v>8.6820000000000005E-3</v>
      </c>
      <c r="N50">
        <v>6322.6844510000001</v>
      </c>
      <c r="O50">
        <v>1150.921513</v>
      </c>
      <c r="P50">
        <v>40.315021999999999</v>
      </c>
    </row>
    <row r="51" spans="1:16" x14ac:dyDescent="0.3">
      <c r="A51" t="s">
        <v>46</v>
      </c>
      <c r="B51">
        <v>8</v>
      </c>
      <c r="C51">
        <v>852</v>
      </c>
      <c r="D51">
        <v>2.5778249999999998</v>
      </c>
      <c r="E51">
        <v>1.289919</v>
      </c>
      <c r="F51">
        <v>4.4192000000000002E-2</v>
      </c>
      <c r="G51">
        <v>2196.3071</v>
      </c>
      <c r="H51">
        <v>1.1591480000000001</v>
      </c>
      <c r="I51">
        <v>0.28504400000000002</v>
      </c>
      <c r="J51">
        <v>9.7649999999999994E-3</v>
      </c>
      <c r="K51">
        <v>0.89139500000000005</v>
      </c>
      <c r="L51">
        <v>0.12829499999999999</v>
      </c>
      <c r="M51">
        <v>9.7649999999999994E-3</v>
      </c>
      <c r="N51">
        <v>6701.2894020000003</v>
      </c>
      <c r="O51">
        <v>1083.9977120000001</v>
      </c>
      <c r="P51">
        <v>37.137149999999998</v>
      </c>
    </row>
    <row r="52" spans="1:16" x14ac:dyDescent="0.3">
      <c r="A52" t="s">
        <v>47</v>
      </c>
      <c r="B52">
        <v>8</v>
      </c>
      <c r="C52">
        <v>875</v>
      </c>
      <c r="D52">
        <v>2.578322</v>
      </c>
      <c r="E52">
        <v>1.3230010000000001</v>
      </c>
      <c r="F52">
        <v>4.4726000000000002E-2</v>
      </c>
      <c r="G52">
        <v>2256.0317</v>
      </c>
      <c r="H52">
        <v>1.175136</v>
      </c>
      <c r="I52">
        <v>0.44270599999999999</v>
      </c>
      <c r="J52">
        <v>1.4966E-2</v>
      </c>
      <c r="K52">
        <v>0.89017500000000005</v>
      </c>
      <c r="L52">
        <v>0.12620100000000001</v>
      </c>
      <c r="M52">
        <v>1.4966E-2</v>
      </c>
      <c r="N52">
        <v>6342.0179870000002</v>
      </c>
      <c r="O52">
        <v>1047.0335709999999</v>
      </c>
      <c r="P52">
        <v>35.396194999999999</v>
      </c>
    </row>
    <row r="53" spans="1:16" x14ac:dyDescent="0.3">
      <c r="A53" t="s">
        <v>48</v>
      </c>
      <c r="B53">
        <v>8</v>
      </c>
      <c r="C53">
        <v>888</v>
      </c>
      <c r="D53">
        <v>2.6137139999999999</v>
      </c>
      <c r="E53">
        <v>1.3463719999999999</v>
      </c>
      <c r="F53">
        <v>4.5180999999999999E-2</v>
      </c>
      <c r="G53">
        <v>2320.9784</v>
      </c>
      <c r="H53">
        <v>1.1522810000000001</v>
      </c>
      <c r="I53">
        <v>0.26481199999999999</v>
      </c>
      <c r="J53">
        <v>8.8870000000000008E-3</v>
      </c>
      <c r="K53">
        <v>0.88522900000000004</v>
      </c>
      <c r="L53">
        <v>0.12870200000000001</v>
      </c>
      <c r="M53">
        <v>8.8870000000000008E-3</v>
      </c>
      <c r="N53">
        <v>6383.9446889999999</v>
      </c>
      <c r="O53">
        <v>1341.0104590000001</v>
      </c>
      <c r="P53">
        <v>45.001364000000002</v>
      </c>
    </row>
    <row r="54" spans="1:16" x14ac:dyDescent="0.3">
      <c r="A54" t="s">
        <v>41</v>
      </c>
      <c r="B54">
        <f>AVERAGE(B49:B53)</f>
        <v>8</v>
      </c>
      <c r="C54">
        <f t="shared" ref="C54" si="90">AVERAGE(C49:C53)</f>
        <v>834.8</v>
      </c>
      <c r="D54">
        <f t="shared" ref="D54" si="91">AVERAGE(D49:D53)</f>
        <v>2.6158433999999997</v>
      </c>
      <c r="E54">
        <f t="shared" ref="E54" si="92">AVERAGE(E49:E53)</f>
        <v>1.3383313999999999</v>
      </c>
      <c r="F54">
        <f t="shared" ref="F54" si="93">AVERAGE(F49:F53)</f>
        <v>4.6419800000000004E-2</v>
      </c>
      <c r="G54">
        <f t="shared" ref="G54" si="94">AVERAGE(G49:G53)</f>
        <v>2182.6113399999999</v>
      </c>
      <c r="H54">
        <f t="shared" ref="H54" si="95">AVERAGE(H49:H53)</f>
        <v>1.1602476000000002</v>
      </c>
      <c r="I54">
        <f t="shared" ref="I54" si="96">AVERAGE(I49:I53)</f>
        <v>0.29981500000000005</v>
      </c>
      <c r="J54">
        <f t="shared" ref="J54" si="97">AVERAGE(J49:J53)</f>
        <v>1.0356600000000001E-2</v>
      </c>
      <c r="K54">
        <f t="shared" ref="K54" si="98">AVERAGE(K49:K53)</f>
        <v>0.89143760000000005</v>
      </c>
      <c r="L54">
        <f t="shared" ref="L54" si="99">AVERAGE(L49:L53)</f>
        <v>0.1254654</v>
      </c>
      <c r="M54">
        <f t="shared" ref="M54" si="100">AVERAGE(M49:M53)</f>
        <v>1.0356600000000001E-2</v>
      </c>
      <c r="N54">
        <f t="shared" ref="N54" si="101">AVERAGE(N49:N53)</f>
        <v>6415.2531666000004</v>
      </c>
      <c r="O54">
        <f t="shared" ref="O54" si="102">AVERAGE(O49:O53)</f>
        <v>1149.7330907999999</v>
      </c>
      <c r="P54">
        <f t="shared" ref="P54" si="103">AVERAGE(P49:P53)</f>
        <v>39.823995199999999</v>
      </c>
    </row>
    <row r="55" spans="1:16" x14ac:dyDescent="0.3">
      <c r="A55" t="s">
        <v>42</v>
      </c>
      <c r="B55">
        <f>STDEV(B49:B53)</f>
        <v>0</v>
      </c>
      <c r="C55">
        <f t="shared" ref="C55:P55" si="104">STDEV(C49:C53)</f>
        <v>57.833381364053068</v>
      </c>
      <c r="D55">
        <f t="shared" si="104"/>
        <v>3.9845847641881059E-2</v>
      </c>
      <c r="E55">
        <f t="shared" si="104"/>
        <v>4.1139289350935533E-2</v>
      </c>
      <c r="F55">
        <f t="shared" si="104"/>
        <v>2.9249251614357594E-3</v>
      </c>
      <c r="G55">
        <f t="shared" si="104"/>
        <v>134.84614028111073</v>
      </c>
      <c r="H55">
        <f t="shared" si="104"/>
        <v>1.1203472198385593E-2</v>
      </c>
      <c r="I55">
        <f t="shared" si="104"/>
        <v>8.1017228408530262E-2</v>
      </c>
      <c r="J55">
        <f t="shared" si="104"/>
        <v>2.6136059955548007E-3</v>
      </c>
      <c r="K55">
        <f t="shared" si="104"/>
        <v>4.2051232800002234E-3</v>
      </c>
      <c r="L55">
        <f t="shared" si="104"/>
        <v>3.6862048640844674E-3</v>
      </c>
      <c r="M55">
        <f t="shared" si="104"/>
        <v>2.6136059955548007E-3</v>
      </c>
      <c r="N55">
        <f t="shared" si="104"/>
        <v>161.73802947205684</v>
      </c>
      <c r="O55">
        <f t="shared" si="104"/>
        <v>114.05509533409416</v>
      </c>
      <c r="P55">
        <f t="shared" si="104"/>
        <v>3.7404025596656991</v>
      </c>
    </row>
    <row r="56" spans="1:16" x14ac:dyDescent="0.3">
      <c r="A56" t="s">
        <v>43</v>
      </c>
      <c r="B56">
        <f>(B55/(SQRT(COUNT(B49:B53))))</f>
        <v>0</v>
      </c>
      <c r="C56">
        <f t="shared" ref="C56" si="105">(C55/(SQRT(COUNT(C49:C53))))</f>
        <v>25.863874419738433</v>
      </c>
      <c r="D56">
        <f t="shared" ref="D56" si="106">(D55/(SQRT(COUNT(D49:D53))))</f>
        <v>1.7819604789669149E-2</v>
      </c>
      <c r="E56">
        <f t="shared" ref="E56" si="107">(E55/(SQRT(COUNT(E49:E53))))</f>
        <v>1.839804950694501E-2</v>
      </c>
      <c r="F56">
        <f t="shared" ref="F56" si="108">(F55/(SQRT(COUNT(F49:F53))))</f>
        <v>1.3080662980139808E-3</v>
      </c>
      <c r="G56">
        <f t="shared" ref="G56" si="109">(G55/(SQRT(COUNT(G49:G53))))</f>
        <v>60.305027234407241</v>
      </c>
      <c r="H56">
        <f t="shared" ref="H56" si="110">(H55/(SQRT(COUNT(H49:H53))))</f>
        <v>5.0103450839238395E-3</v>
      </c>
      <c r="I56">
        <f t="shared" ref="I56" si="111">(I55/(SQRT(COUNT(I49:I53))))</f>
        <v>3.623200601402015E-2</v>
      </c>
      <c r="J56">
        <f t="shared" ref="J56" si="112">(J55/(SQRT(COUNT(J49:J53))))</f>
        <v>1.1688401344923094E-3</v>
      </c>
      <c r="K56">
        <f t="shared" ref="K56" si="113">(K55/(SQRT(COUNT(K49:K53))))</f>
        <v>1.8805883015694761E-3</v>
      </c>
      <c r="L56">
        <f t="shared" ref="L56" si="114">(L55/(SQRT(COUNT(L49:L53))))</f>
        <v>1.6485209310166484E-3</v>
      </c>
      <c r="M56">
        <f t="shared" ref="M56" si="115">(M55/(SQRT(COUNT(M49:M53))))</f>
        <v>1.1688401344923094E-3</v>
      </c>
      <c r="N56">
        <f t="shared" ref="N56" si="116">(N55/(SQRT(COUNT(N49:N53))))</f>
        <v>72.331445689276705</v>
      </c>
      <c r="O56">
        <f t="shared" ref="O56" si="117">(O55/(SQRT(COUNT(O49:O53))))</f>
        <v>51.006989269450727</v>
      </c>
      <c r="P56">
        <f t="shared" ref="P56" si="118">(P55/(SQRT(COUNT(P49:P53))))</f>
        <v>1.6727588773253432</v>
      </c>
    </row>
    <row r="58" spans="1:16" x14ac:dyDescent="0.3">
      <c r="A58" t="s">
        <v>49</v>
      </c>
    </row>
    <row r="59" spans="1:16" x14ac:dyDescent="0.3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</v>
      </c>
      <c r="I59" t="s">
        <v>8</v>
      </c>
      <c r="J59" t="s">
        <v>9</v>
      </c>
      <c r="K59" t="s">
        <v>10</v>
      </c>
      <c r="L59" t="s">
        <v>11</v>
      </c>
      <c r="M59" t="s">
        <v>12</v>
      </c>
      <c r="N59" t="s">
        <v>13</v>
      </c>
      <c r="O59" t="s">
        <v>14</v>
      </c>
      <c r="P59" t="s">
        <v>15</v>
      </c>
    </row>
    <row r="60" spans="1:16" x14ac:dyDescent="0.3">
      <c r="A60" t="s">
        <v>50</v>
      </c>
      <c r="B60">
        <v>8</v>
      </c>
      <c r="C60">
        <v>623</v>
      </c>
      <c r="D60">
        <v>4.0479159999999998</v>
      </c>
      <c r="E60">
        <v>2.0448559999999998</v>
      </c>
      <c r="F60">
        <v>8.1924999999999998E-2</v>
      </c>
      <c r="G60">
        <v>2521.8517999999999</v>
      </c>
      <c r="H60">
        <v>1.1328480000000001</v>
      </c>
      <c r="I60">
        <v>0.33251599999999998</v>
      </c>
      <c r="J60">
        <v>1.3322000000000001E-2</v>
      </c>
      <c r="K60">
        <v>0.92150600000000005</v>
      </c>
      <c r="L60">
        <v>8.7900000000000006E-2</v>
      </c>
      <c r="M60">
        <v>1.3322000000000001E-2</v>
      </c>
      <c r="N60">
        <v>9256.9388560000007</v>
      </c>
      <c r="O60">
        <v>1829.9073430000001</v>
      </c>
      <c r="P60">
        <v>73.313689999999994</v>
      </c>
    </row>
    <row r="61" spans="1:16" x14ac:dyDescent="0.3">
      <c r="A61" t="s">
        <v>51</v>
      </c>
      <c r="B61">
        <v>8</v>
      </c>
      <c r="C61">
        <v>535</v>
      </c>
      <c r="D61">
        <v>3.8951500000000001</v>
      </c>
      <c r="E61">
        <v>1.9124920000000001</v>
      </c>
      <c r="F61">
        <v>8.2683999999999994E-2</v>
      </c>
      <c r="G61">
        <v>2083.9052000000001</v>
      </c>
      <c r="H61">
        <v>1.13083</v>
      </c>
      <c r="I61">
        <v>0.28154600000000002</v>
      </c>
      <c r="J61">
        <v>1.2172000000000001E-2</v>
      </c>
      <c r="K61">
        <v>0.92753300000000005</v>
      </c>
      <c r="L61">
        <v>7.5495999999999994E-2</v>
      </c>
      <c r="M61">
        <v>1.2172000000000001E-2</v>
      </c>
      <c r="N61">
        <v>9196.0526680000003</v>
      </c>
      <c r="O61">
        <v>1789.1851529999999</v>
      </c>
      <c r="P61">
        <v>77.353219999999993</v>
      </c>
    </row>
    <row r="62" spans="1:16" x14ac:dyDescent="0.3">
      <c r="A62" t="s">
        <v>52</v>
      </c>
      <c r="B62">
        <v>8</v>
      </c>
      <c r="C62">
        <v>461</v>
      </c>
      <c r="D62">
        <v>3.6143999999999998</v>
      </c>
      <c r="E62">
        <v>1.7377359999999999</v>
      </c>
      <c r="F62">
        <v>8.0934000000000006E-2</v>
      </c>
      <c r="G62">
        <v>1666.2385999999999</v>
      </c>
      <c r="H62">
        <v>1.138682</v>
      </c>
      <c r="I62">
        <v>0.27899499999999999</v>
      </c>
      <c r="J62">
        <v>1.2994E-2</v>
      </c>
      <c r="K62">
        <v>0.92833100000000002</v>
      </c>
      <c r="L62">
        <v>8.1268000000000007E-2</v>
      </c>
      <c r="M62">
        <v>1.2994E-2</v>
      </c>
      <c r="N62">
        <v>8570.2649760000004</v>
      </c>
      <c r="O62">
        <v>1864.2360169999999</v>
      </c>
      <c r="P62">
        <v>86.826127</v>
      </c>
    </row>
    <row r="63" spans="1:16" x14ac:dyDescent="0.3">
      <c r="A63" t="s">
        <v>53</v>
      </c>
      <c r="B63">
        <v>8</v>
      </c>
      <c r="C63">
        <v>383</v>
      </c>
      <c r="D63">
        <v>3.4904899999999999</v>
      </c>
      <c r="E63">
        <v>1.7067060000000001</v>
      </c>
      <c r="F63">
        <v>8.7208999999999995E-2</v>
      </c>
      <c r="G63">
        <v>1336.8576</v>
      </c>
      <c r="H63">
        <v>1.12635</v>
      </c>
      <c r="I63">
        <v>8.1754999999999994E-2</v>
      </c>
      <c r="J63">
        <v>4.1780000000000003E-3</v>
      </c>
      <c r="K63">
        <v>0.93232400000000004</v>
      </c>
      <c r="L63">
        <v>6.9357000000000002E-2</v>
      </c>
      <c r="M63">
        <v>4.1780000000000003E-3</v>
      </c>
      <c r="N63">
        <v>7747.185622</v>
      </c>
      <c r="O63">
        <v>2097.7398910000002</v>
      </c>
      <c r="P63">
        <v>107.18950100000001</v>
      </c>
    </row>
    <row r="64" spans="1:16" x14ac:dyDescent="0.3">
      <c r="A64" t="s">
        <v>54</v>
      </c>
      <c r="B64">
        <v>8</v>
      </c>
      <c r="C64">
        <v>370</v>
      </c>
      <c r="D64">
        <v>3.5729340000000001</v>
      </c>
      <c r="E64">
        <v>1.623218</v>
      </c>
      <c r="F64">
        <v>8.4387000000000004E-2</v>
      </c>
      <c r="G64">
        <v>1321.9856</v>
      </c>
      <c r="H64">
        <v>1.1247560000000001</v>
      </c>
      <c r="I64">
        <v>7.1552000000000004E-2</v>
      </c>
      <c r="J64">
        <v>3.7200000000000002E-3</v>
      </c>
      <c r="K64">
        <v>0.93789500000000003</v>
      </c>
      <c r="L64">
        <v>5.6638000000000001E-2</v>
      </c>
      <c r="M64">
        <v>3.7200000000000002E-3</v>
      </c>
      <c r="N64">
        <v>7415.2496959999999</v>
      </c>
      <c r="O64">
        <v>1353.4591330000001</v>
      </c>
      <c r="P64">
        <v>70.362989999999996</v>
      </c>
    </row>
    <row r="65" spans="1:16" x14ac:dyDescent="0.3">
      <c r="A65" t="s">
        <v>41</v>
      </c>
      <c r="B65">
        <f>AVERAGE(B60:B64)</f>
        <v>8</v>
      </c>
      <c r="C65">
        <f t="shared" ref="C65" si="119">AVERAGE(C60:C64)</f>
        <v>474.4</v>
      </c>
      <c r="D65">
        <f t="shared" ref="D65" si="120">AVERAGE(D60:D64)</f>
        <v>3.7241779999999998</v>
      </c>
      <c r="E65">
        <f t="shared" ref="E65" si="121">AVERAGE(E60:E64)</f>
        <v>1.8050016</v>
      </c>
      <c r="F65">
        <f t="shared" ref="F65" si="122">AVERAGE(F60:F64)</f>
        <v>8.3427799999999996E-2</v>
      </c>
      <c r="G65">
        <f t="shared" ref="G65" si="123">AVERAGE(G60:G64)</f>
        <v>1786.1677599999998</v>
      </c>
      <c r="H65">
        <f t="shared" ref="H65" si="124">AVERAGE(H60:H64)</f>
        <v>1.1306932000000001</v>
      </c>
      <c r="I65">
        <f t="shared" ref="I65" si="125">AVERAGE(I60:I64)</f>
        <v>0.20927280000000001</v>
      </c>
      <c r="J65">
        <f t="shared" ref="J65" si="126">AVERAGE(J60:J64)</f>
        <v>9.2772000000000011E-3</v>
      </c>
      <c r="K65">
        <f t="shared" ref="K65" si="127">AVERAGE(K60:K64)</f>
        <v>0.92951779999999995</v>
      </c>
      <c r="L65">
        <f t="shared" ref="L65" si="128">AVERAGE(L60:L64)</f>
        <v>7.4131799999999998E-2</v>
      </c>
      <c r="M65">
        <f t="shared" ref="M65" si="129">AVERAGE(M60:M64)</f>
        <v>9.2772000000000011E-3</v>
      </c>
      <c r="N65">
        <f t="shared" ref="N65" si="130">AVERAGE(N60:N64)</f>
        <v>8437.1383635999991</v>
      </c>
      <c r="O65">
        <f t="shared" ref="O65" si="131">AVERAGE(O60:O64)</f>
        <v>1786.9055074</v>
      </c>
      <c r="P65">
        <f t="shared" ref="P65" si="132">AVERAGE(P60:P64)</f>
        <v>83.009105599999998</v>
      </c>
    </row>
    <row r="66" spans="1:16" x14ac:dyDescent="0.3">
      <c r="A66" t="s">
        <v>42</v>
      </c>
      <c r="B66">
        <f>STDEV(B60:B64)</f>
        <v>0</v>
      </c>
      <c r="C66">
        <f t="shared" ref="C66:P66" si="133">STDEV(C60:C64)</f>
        <v>106.28640552770608</v>
      </c>
      <c r="D66">
        <f t="shared" si="133"/>
        <v>0.23641793269124067</v>
      </c>
      <c r="E66">
        <f t="shared" si="133"/>
        <v>0.17052586493198024</v>
      </c>
      <c r="F66">
        <f t="shared" si="133"/>
        <v>2.4621242251356831E-3</v>
      </c>
      <c r="G66">
        <f t="shared" si="133"/>
        <v>515.17140129481993</v>
      </c>
      <c r="H66">
        <f t="shared" si="133"/>
        <v>5.5361659295942158E-3</v>
      </c>
      <c r="I66">
        <f t="shared" si="133"/>
        <v>0.12298505501360713</v>
      </c>
      <c r="J66">
        <f t="shared" si="133"/>
        <v>4.8846491378603625E-3</v>
      </c>
      <c r="K66">
        <f t="shared" si="133"/>
        <v>6.0743127759442838E-3</v>
      </c>
      <c r="L66">
        <f t="shared" si="133"/>
        <v>1.1949701636442637E-2</v>
      </c>
      <c r="M66">
        <f t="shared" si="133"/>
        <v>4.8846491378603625E-3</v>
      </c>
      <c r="N66">
        <f t="shared" si="133"/>
        <v>834.57140172395964</v>
      </c>
      <c r="O66">
        <f t="shared" si="133"/>
        <v>270.33688976558688</v>
      </c>
      <c r="P66">
        <f t="shared" si="133"/>
        <v>14.875949880713241</v>
      </c>
    </row>
    <row r="67" spans="1:16" x14ac:dyDescent="0.3">
      <c r="A67" t="s">
        <v>43</v>
      </c>
      <c r="B67">
        <f>(B66/(SQRT(COUNT(B60:B64))))</f>
        <v>0</v>
      </c>
      <c r="C67">
        <f t="shared" ref="C67" si="134">(C66/(SQRT(COUNT(C60:C64))))</f>
        <v>47.53272556881204</v>
      </c>
      <c r="D67">
        <f t="shared" ref="D67" si="135">(D66/(SQRT(COUNT(D60:D64))))</f>
        <v>0.10572931371951678</v>
      </c>
      <c r="E67">
        <f t="shared" ref="E67" si="136">(E66/(SQRT(COUNT(E60:E64))))</f>
        <v>7.6261485181971067E-2</v>
      </c>
      <c r="F67">
        <f t="shared" ref="F67" si="137">(F66/(SQRT(COUNT(F60:F64))))</f>
        <v>1.1010954272904767E-3</v>
      </c>
      <c r="G67">
        <f t="shared" ref="G67" si="138">(G66/(SQRT(COUNT(G60:G64))))</f>
        <v>230.39165467180808</v>
      </c>
      <c r="H67">
        <f t="shared" ref="H67" si="139">(H66/(SQRT(COUNT(H60:H64))))</f>
        <v>2.4758486706581962E-3</v>
      </c>
      <c r="I67">
        <f t="shared" ref="I67" si="140">(I66/(SQRT(COUNT(I60:I64))))</f>
        <v>5.5000588645395365E-2</v>
      </c>
      <c r="J67">
        <f t="shared" ref="J67" si="141">(J66/(SQRT(COUNT(J60:J64))))</f>
        <v>2.1844815036983025E-3</v>
      </c>
      <c r="K67">
        <f t="shared" ref="K67" si="142">(K66/(SQRT(COUNT(K60:K64))))</f>
        <v>2.7165152567213734E-3</v>
      </c>
      <c r="L67">
        <f t="shared" ref="L67" si="143">(L66/(SQRT(COUNT(L60:L64))))</f>
        <v>5.3440690339852425E-3</v>
      </c>
      <c r="M67">
        <f t="shared" ref="M67" si="144">(M66/(SQRT(COUNT(M60:M64))))</f>
        <v>2.1844815036983025E-3</v>
      </c>
      <c r="N67">
        <f t="shared" ref="N67" si="145">(N66/(SQRT(COUNT(N60:N64))))</f>
        <v>373.23167726641179</v>
      </c>
      <c r="O67">
        <f t="shared" ref="O67" si="146">(O66/(SQRT(COUNT(O60:O64))))</f>
        <v>120.89833246834388</v>
      </c>
      <c r="P67">
        <f t="shared" ref="P67" si="147">(P66/(SQRT(COUNT(P60:P64))))</f>
        <v>6.6527270326309385</v>
      </c>
    </row>
    <row r="69" spans="1:16" x14ac:dyDescent="0.3">
      <c r="A69" t="s">
        <v>55</v>
      </c>
    </row>
    <row r="70" spans="1:16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7</v>
      </c>
      <c r="I70" t="s">
        <v>8</v>
      </c>
      <c r="J70" t="s">
        <v>9</v>
      </c>
      <c r="K70" t="s">
        <v>10</v>
      </c>
      <c r="L70" t="s">
        <v>11</v>
      </c>
      <c r="M70" t="s">
        <v>12</v>
      </c>
      <c r="N70" t="s">
        <v>13</v>
      </c>
      <c r="O70" t="s">
        <v>14</v>
      </c>
      <c r="P70" t="s">
        <v>15</v>
      </c>
    </row>
    <row r="71" spans="1:16" x14ac:dyDescent="0.3">
      <c r="A71" t="s">
        <v>56</v>
      </c>
      <c r="B71">
        <v>8</v>
      </c>
      <c r="C71">
        <v>643</v>
      </c>
      <c r="D71">
        <v>4.0596800000000002</v>
      </c>
      <c r="E71">
        <v>2.2479659999999999</v>
      </c>
      <c r="F71">
        <v>8.8650999999999994E-2</v>
      </c>
      <c r="G71">
        <v>2610.3739999999998</v>
      </c>
      <c r="H71">
        <v>1.1160099999999999</v>
      </c>
      <c r="I71">
        <v>9.5217999999999997E-2</v>
      </c>
      <c r="J71">
        <v>3.7550000000000001E-3</v>
      </c>
      <c r="K71">
        <v>0.91999600000000004</v>
      </c>
      <c r="L71">
        <v>7.1398000000000003E-2</v>
      </c>
      <c r="M71">
        <v>3.7550000000000001E-3</v>
      </c>
      <c r="N71">
        <v>10331.504025</v>
      </c>
      <c r="O71">
        <v>1929.595145</v>
      </c>
      <c r="P71">
        <v>76.095804000000001</v>
      </c>
    </row>
    <row r="72" spans="1:16" x14ac:dyDescent="0.3">
      <c r="A72" t="s">
        <v>57</v>
      </c>
      <c r="B72">
        <v>8</v>
      </c>
      <c r="C72">
        <v>641</v>
      </c>
      <c r="D72">
        <v>4.1060939999999997</v>
      </c>
      <c r="E72">
        <v>2.2955160000000001</v>
      </c>
      <c r="F72">
        <v>9.0666999999999998E-2</v>
      </c>
      <c r="G72">
        <v>2632.0059999999999</v>
      </c>
      <c r="H72">
        <v>1.1274280000000001</v>
      </c>
      <c r="I72">
        <v>0.25437500000000002</v>
      </c>
      <c r="J72">
        <v>1.0047E-2</v>
      </c>
      <c r="K72">
        <v>0.90931600000000001</v>
      </c>
      <c r="L72">
        <v>9.0423000000000003E-2</v>
      </c>
      <c r="M72">
        <v>1.0047E-2</v>
      </c>
      <c r="N72">
        <v>10038.721503000001</v>
      </c>
      <c r="O72">
        <v>1899.187723</v>
      </c>
      <c r="P72">
        <v>75.013405000000006</v>
      </c>
    </row>
    <row r="73" spans="1:16" x14ac:dyDescent="0.3">
      <c r="A73" t="s">
        <v>58</v>
      </c>
      <c r="B73">
        <v>8</v>
      </c>
      <c r="C73">
        <v>646</v>
      </c>
      <c r="D73">
        <v>4.0549010000000001</v>
      </c>
      <c r="E73">
        <v>2.2372779999999999</v>
      </c>
      <c r="F73">
        <v>8.8025000000000006E-2</v>
      </c>
      <c r="G73">
        <v>2619.4661999999998</v>
      </c>
      <c r="H73">
        <v>1.120401</v>
      </c>
      <c r="I73">
        <v>0.107837</v>
      </c>
      <c r="J73">
        <v>4.2430000000000002E-3</v>
      </c>
      <c r="K73">
        <v>0.920099</v>
      </c>
      <c r="L73">
        <v>7.4057999999999999E-2</v>
      </c>
      <c r="M73">
        <v>4.2430000000000002E-3</v>
      </c>
      <c r="N73">
        <v>9105.5844390000002</v>
      </c>
      <c r="O73">
        <v>1751.954735</v>
      </c>
      <c r="P73">
        <v>68.929737000000003</v>
      </c>
    </row>
    <row r="74" spans="1:16" x14ac:dyDescent="0.3">
      <c r="A74" t="s">
        <v>59</v>
      </c>
      <c r="B74">
        <v>8</v>
      </c>
      <c r="C74">
        <v>591</v>
      </c>
      <c r="D74">
        <v>4.3233119999999996</v>
      </c>
      <c r="E74">
        <v>2.391508</v>
      </c>
      <c r="F74">
        <v>9.8374000000000003E-2</v>
      </c>
      <c r="G74">
        <v>2555.0772000000002</v>
      </c>
      <c r="H74">
        <v>1.116417</v>
      </c>
      <c r="I74">
        <v>0.135325</v>
      </c>
      <c r="J74">
        <v>5.5669999999999999E-3</v>
      </c>
      <c r="K74">
        <v>0.91628399999999999</v>
      </c>
      <c r="L74">
        <v>8.5197999999999996E-2</v>
      </c>
      <c r="M74">
        <v>5.5669999999999999E-3</v>
      </c>
      <c r="N74">
        <v>8780.3145050000003</v>
      </c>
      <c r="O74">
        <v>1725.951611</v>
      </c>
      <c r="P74">
        <v>70.996162999999996</v>
      </c>
    </row>
    <row r="75" spans="1:16" x14ac:dyDescent="0.3">
      <c r="A75" t="s">
        <v>60</v>
      </c>
      <c r="B75">
        <v>8</v>
      </c>
      <c r="C75">
        <v>594</v>
      </c>
      <c r="D75">
        <v>4.3652360000000003</v>
      </c>
      <c r="E75">
        <v>2.3631739999999999</v>
      </c>
      <c r="F75">
        <v>9.6962000000000007E-2</v>
      </c>
      <c r="G75">
        <v>2592.9501</v>
      </c>
      <c r="H75">
        <v>1.1144229999999999</v>
      </c>
      <c r="I75">
        <v>0.18071000000000001</v>
      </c>
      <c r="J75">
        <v>7.4149999999999997E-3</v>
      </c>
      <c r="K75">
        <v>0.91398000000000001</v>
      </c>
      <c r="L75">
        <v>8.3776000000000003E-2</v>
      </c>
      <c r="M75">
        <v>7.4149999999999997E-3</v>
      </c>
      <c r="N75">
        <v>8866.9468579999993</v>
      </c>
      <c r="O75">
        <v>1758.3454810000001</v>
      </c>
      <c r="P75">
        <v>72.145788999999994</v>
      </c>
    </row>
    <row r="76" spans="1:16" x14ac:dyDescent="0.3">
      <c r="A76" t="s">
        <v>41</v>
      </c>
      <c r="B76">
        <f>AVERAGE(B71:B75)</f>
        <v>8</v>
      </c>
      <c r="C76">
        <f t="shared" ref="C76" si="148">AVERAGE(C71:C75)</f>
        <v>623</v>
      </c>
      <c r="D76">
        <f t="shared" ref="D76" si="149">AVERAGE(D71:D75)</f>
        <v>4.1818445999999998</v>
      </c>
      <c r="E76">
        <f t="shared" ref="E76" si="150">AVERAGE(E71:E75)</f>
        <v>2.3070884</v>
      </c>
      <c r="F76">
        <f t="shared" ref="F76" si="151">AVERAGE(F71:F75)</f>
        <v>9.2535800000000001E-2</v>
      </c>
      <c r="G76">
        <f t="shared" ref="G76" si="152">AVERAGE(G71:G75)</f>
        <v>2601.9746999999998</v>
      </c>
      <c r="H76">
        <f t="shared" ref="H76" si="153">AVERAGE(H71:H75)</f>
        <v>1.1189358000000003</v>
      </c>
      <c r="I76">
        <f t="shared" ref="I76" si="154">AVERAGE(I71:I75)</f>
        <v>0.15469300000000002</v>
      </c>
      <c r="J76">
        <f t="shared" ref="J76" si="155">AVERAGE(J71:J75)</f>
        <v>6.2053999999999998E-3</v>
      </c>
      <c r="K76">
        <f t="shared" ref="K76" si="156">AVERAGE(K71:K75)</f>
        <v>0.91593499999999994</v>
      </c>
      <c r="L76">
        <f t="shared" ref="L76" si="157">AVERAGE(L71:L75)</f>
        <v>8.0970600000000004E-2</v>
      </c>
      <c r="M76">
        <f t="shared" ref="M76" si="158">AVERAGE(M71:M75)</f>
        <v>6.2053999999999998E-3</v>
      </c>
      <c r="N76">
        <f t="shared" ref="N76" si="159">AVERAGE(N71:N75)</f>
        <v>9424.6142660000005</v>
      </c>
      <c r="O76">
        <f t="shared" ref="O76" si="160">AVERAGE(O71:O75)</f>
        <v>1813.0069390000001</v>
      </c>
      <c r="P76">
        <f t="shared" ref="P76" si="161">AVERAGE(P71:P75)</f>
        <v>72.636179600000006</v>
      </c>
    </row>
    <row r="77" spans="1:16" x14ac:dyDescent="0.3">
      <c r="A77" t="s">
        <v>42</v>
      </c>
      <c r="B77">
        <f>STDEV(B71:B75)</f>
        <v>0</v>
      </c>
      <c r="C77">
        <f t="shared" ref="C77:P77" si="162">STDEV(C71:C75)</f>
        <v>27.919527216627433</v>
      </c>
      <c r="D77">
        <f t="shared" si="162"/>
        <v>0.1503516306290025</v>
      </c>
      <c r="E77">
        <f t="shared" si="162"/>
        <v>6.8511192449117408E-2</v>
      </c>
      <c r="F77">
        <f t="shared" si="162"/>
        <v>4.8116324360865329E-3</v>
      </c>
      <c r="G77">
        <f t="shared" si="162"/>
        <v>29.829510152866934</v>
      </c>
      <c r="H77">
        <f t="shared" si="162"/>
        <v>5.2329316544362219E-3</v>
      </c>
      <c r="I77">
        <f t="shared" si="162"/>
        <v>6.4655365589407945E-2</v>
      </c>
      <c r="J77">
        <f t="shared" si="162"/>
        <v>2.573132876475679E-3</v>
      </c>
      <c r="K77">
        <f t="shared" si="162"/>
        <v>4.516237482684011E-3</v>
      </c>
      <c r="L77">
        <f t="shared" si="162"/>
        <v>7.9766495974187071E-3</v>
      </c>
      <c r="M77">
        <f t="shared" si="162"/>
        <v>2.573132876475679E-3</v>
      </c>
      <c r="N77">
        <f t="shared" si="162"/>
        <v>711.94660684643327</v>
      </c>
      <c r="O77">
        <f t="shared" si="162"/>
        <v>93.95985052973964</v>
      </c>
      <c r="P77">
        <f t="shared" si="162"/>
        <v>2.9278001864633469</v>
      </c>
    </row>
    <row r="78" spans="1:16" x14ac:dyDescent="0.3">
      <c r="A78" t="s">
        <v>43</v>
      </c>
      <c r="B78">
        <f>(B77/(SQRT(COUNT(B71:B75))))</f>
        <v>0</v>
      </c>
      <c r="C78">
        <f t="shared" ref="C78" si="163">(C77/(SQRT(COUNT(C71:C75))))</f>
        <v>12.485992151206887</v>
      </c>
      <c r="D78">
        <f t="shared" ref="D78" si="164">(D77/(SQRT(COUNT(D71:D75))))</f>
        <v>6.7239293322877813E-2</v>
      </c>
      <c r="E78">
        <f t="shared" ref="E78" si="165">(E77/(SQRT(COUNT(E71:E75))))</f>
        <v>3.0639136707159363E-2</v>
      </c>
      <c r="F78">
        <f t="shared" ref="F78" si="166">(F77/(SQRT(COUNT(F71:F75))))</f>
        <v>2.1518274419664797E-3</v>
      </c>
      <c r="G78">
        <f t="shared" ref="G78" si="167">(G77/(SQRT(COUNT(G71:G75))))</f>
        <v>13.34016248746612</v>
      </c>
      <c r="H78">
        <f t="shared" ref="H78" si="168">(H77/(SQRT(COUNT(H71:H75))))</f>
        <v>2.3402381801859661E-3</v>
      </c>
      <c r="I78">
        <f t="shared" ref="I78" si="169">(I77/(SQRT(COUNT(I71:I75))))</f>
        <v>2.8914758513603384E-2</v>
      </c>
      <c r="J78">
        <f t="shared" ref="J78" si="170">(J77/(SQRT(COUNT(J71:J75))))</f>
        <v>1.1507400053878375E-3</v>
      </c>
      <c r="K78">
        <f t="shared" ref="K78" si="171">(K77/(SQRT(COUNT(K71:K75))))</f>
        <v>2.0197228027627953E-3</v>
      </c>
      <c r="L78">
        <f t="shared" ref="L78" si="172">(L77/(SQRT(COUNT(L71:L75))))</f>
        <v>3.5672661465049119E-3</v>
      </c>
      <c r="M78">
        <f t="shared" ref="M78" si="173">(M77/(SQRT(COUNT(M71:M75))))</f>
        <v>1.1507400053878375E-3</v>
      </c>
      <c r="N78">
        <f t="shared" ref="N78" si="174">(N77/(SQRT(COUNT(N71:N75))))</f>
        <v>318.3922018517884</v>
      </c>
      <c r="O78">
        <f t="shared" ref="O78" si="175">(O77/(SQRT(COUNT(O71:O75))))</f>
        <v>42.020122588043492</v>
      </c>
      <c r="P78">
        <f t="shared" ref="P78" si="176">(P77/(SQRT(COUNT(P71:P75))))</f>
        <v>1.3093520482937206</v>
      </c>
    </row>
    <row r="80" spans="1:16" x14ac:dyDescent="0.3">
      <c r="A80" t="s">
        <v>61</v>
      </c>
    </row>
    <row r="81" spans="1:16" x14ac:dyDescent="0.3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8</v>
      </c>
      <c r="J81" t="s">
        <v>9</v>
      </c>
      <c r="K81" t="s">
        <v>10</v>
      </c>
      <c r="L81" t="s">
        <v>11</v>
      </c>
      <c r="M81" t="s">
        <v>12</v>
      </c>
      <c r="N81" t="s">
        <v>13</v>
      </c>
      <c r="O81" t="s">
        <v>14</v>
      </c>
      <c r="P81" t="s">
        <v>15</v>
      </c>
    </row>
    <row r="82" spans="1:16" x14ac:dyDescent="0.3">
      <c r="A82" t="s">
        <v>62</v>
      </c>
      <c r="B82">
        <v>8</v>
      </c>
      <c r="C82">
        <v>686</v>
      </c>
      <c r="D82">
        <v>3.4752160000000001</v>
      </c>
      <c r="E82">
        <v>1.87541</v>
      </c>
      <c r="F82">
        <v>7.1603E-2</v>
      </c>
      <c r="G82">
        <v>2383.9985000000001</v>
      </c>
      <c r="H82">
        <v>1.1241730000000001</v>
      </c>
      <c r="I82">
        <v>0.172065</v>
      </c>
      <c r="J82">
        <v>6.5690000000000002E-3</v>
      </c>
      <c r="K82">
        <v>0.90481800000000001</v>
      </c>
      <c r="L82">
        <v>0.104541</v>
      </c>
      <c r="M82">
        <v>6.5690000000000002E-3</v>
      </c>
      <c r="N82">
        <v>14615.134608</v>
      </c>
      <c r="O82">
        <v>2699.76955</v>
      </c>
      <c r="P82">
        <v>103.07768</v>
      </c>
    </row>
    <row r="83" spans="1:16" x14ac:dyDescent="0.3">
      <c r="A83" t="s">
        <v>63</v>
      </c>
      <c r="B83">
        <v>8</v>
      </c>
      <c r="C83">
        <v>672</v>
      </c>
      <c r="D83">
        <v>3.4006219999999998</v>
      </c>
      <c r="E83">
        <v>1.807901</v>
      </c>
      <c r="F83">
        <v>6.9740999999999997E-2</v>
      </c>
      <c r="G83">
        <v>2285.2179999999998</v>
      </c>
      <c r="H83">
        <v>1.1316580000000001</v>
      </c>
      <c r="I83">
        <v>0.21138899999999999</v>
      </c>
      <c r="J83">
        <v>8.1550000000000008E-3</v>
      </c>
      <c r="K83">
        <v>0.89939400000000003</v>
      </c>
      <c r="L83">
        <v>0.11182400000000001</v>
      </c>
      <c r="M83">
        <v>8.1550000000000008E-3</v>
      </c>
      <c r="N83">
        <v>14360.332369</v>
      </c>
      <c r="O83">
        <v>2656.417336</v>
      </c>
      <c r="P83">
        <v>102.473523</v>
      </c>
    </row>
    <row r="84" spans="1:16" x14ac:dyDescent="0.3">
      <c r="A84" t="s">
        <v>64</v>
      </c>
      <c r="B84">
        <v>8</v>
      </c>
      <c r="C84">
        <v>652</v>
      </c>
      <c r="D84">
        <v>3.3070349999999999</v>
      </c>
      <c r="E84">
        <v>1.8411169999999999</v>
      </c>
      <c r="F84">
        <v>7.2104000000000001E-2</v>
      </c>
      <c r="G84">
        <v>2156.1864999999998</v>
      </c>
      <c r="H84">
        <v>1.135645</v>
      </c>
      <c r="I84">
        <v>0.244586</v>
      </c>
      <c r="J84">
        <v>9.5790000000000007E-3</v>
      </c>
      <c r="K84">
        <v>0.906169</v>
      </c>
      <c r="L84">
        <v>9.4368999999999995E-2</v>
      </c>
      <c r="M84">
        <v>9.5790000000000007E-3</v>
      </c>
      <c r="N84">
        <v>12403.678005</v>
      </c>
      <c r="O84">
        <v>2464.8991860000001</v>
      </c>
      <c r="P84">
        <v>96.532902000000007</v>
      </c>
    </row>
    <row r="85" spans="1:16" x14ac:dyDescent="0.3">
      <c r="A85" t="s">
        <v>65</v>
      </c>
      <c r="B85">
        <v>8</v>
      </c>
      <c r="C85">
        <v>645</v>
      </c>
      <c r="D85">
        <v>3.2348699999999999</v>
      </c>
      <c r="E85">
        <v>1.8529089999999999</v>
      </c>
      <c r="F85">
        <v>7.2957999999999995E-2</v>
      </c>
      <c r="G85">
        <v>2086.4908999999998</v>
      </c>
      <c r="H85">
        <v>1.1485289999999999</v>
      </c>
      <c r="I85">
        <v>0.284219</v>
      </c>
      <c r="J85">
        <v>1.1191E-2</v>
      </c>
      <c r="K85">
        <v>0.90526799999999996</v>
      </c>
      <c r="L85">
        <v>9.9007999999999999E-2</v>
      </c>
      <c r="M85">
        <v>1.1191E-2</v>
      </c>
      <c r="N85">
        <v>12068.804700999999</v>
      </c>
      <c r="O85">
        <v>2341.5421409999999</v>
      </c>
      <c r="P85">
        <v>92.198132000000001</v>
      </c>
    </row>
    <row r="86" spans="1:16" x14ac:dyDescent="0.3">
      <c r="A86" t="s">
        <v>66</v>
      </c>
      <c r="B86">
        <v>8</v>
      </c>
      <c r="C86">
        <v>603</v>
      </c>
      <c r="D86">
        <v>3.349367</v>
      </c>
      <c r="E86">
        <v>1.7255039999999999</v>
      </c>
      <c r="F86">
        <v>7.0267999999999997E-2</v>
      </c>
      <c r="G86">
        <v>2019.6683</v>
      </c>
      <c r="H86">
        <v>1.1432549999999999</v>
      </c>
      <c r="I86">
        <v>0.30212099999999997</v>
      </c>
      <c r="J86">
        <v>1.2303E-2</v>
      </c>
      <c r="K86">
        <v>0.91049999999999998</v>
      </c>
      <c r="L86">
        <v>9.7151000000000001E-2</v>
      </c>
      <c r="M86">
        <v>1.2303E-2</v>
      </c>
      <c r="N86">
        <v>11000.687373999999</v>
      </c>
      <c r="O86">
        <v>1972.837258</v>
      </c>
      <c r="P86">
        <v>80.340143999999995</v>
      </c>
    </row>
    <row r="87" spans="1:16" x14ac:dyDescent="0.3">
      <c r="A87" t="s">
        <v>41</v>
      </c>
      <c r="B87">
        <f>AVERAGE(B82:B86)</f>
        <v>8</v>
      </c>
      <c r="C87">
        <f t="shared" ref="C87" si="177">AVERAGE(C82:C86)</f>
        <v>651.6</v>
      </c>
      <c r="D87">
        <f t="shared" ref="D87" si="178">AVERAGE(D82:D86)</f>
        <v>3.3534220000000006</v>
      </c>
      <c r="E87">
        <f t="shared" ref="E87" si="179">AVERAGE(E82:E86)</f>
        <v>1.8205681999999996</v>
      </c>
      <c r="F87">
        <f t="shared" ref="F87" si="180">AVERAGE(F82:F86)</f>
        <v>7.1334800000000004E-2</v>
      </c>
      <c r="G87">
        <f t="shared" ref="G87" si="181">AVERAGE(G82:G86)</f>
        <v>2186.3124399999997</v>
      </c>
      <c r="H87">
        <f t="shared" ref="H87" si="182">AVERAGE(H82:H86)</f>
        <v>1.136652</v>
      </c>
      <c r="I87">
        <f t="shared" ref="I87" si="183">AVERAGE(I82:I86)</f>
        <v>0.24287599999999995</v>
      </c>
      <c r="J87">
        <f t="shared" ref="J87" si="184">AVERAGE(J82:J86)</f>
        <v>9.5593999999999991E-3</v>
      </c>
      <c r="K87">
        <f t="shared" ref="K87" si="185">AVERAGE(K82:K86)</f>
        <v>0.90522980000000008</v>
      </c>
      <c r="L87">
        <f t="shared" ref="L87" si="186">AVERAGE(L82:L86)</f>
        <v>0.10137860000000001</v>
      </c>
      <c r="M87">
        <f t="shared" ref="M87" si="187">AVERAGE(M82:M86)</f>
        <v>9.5593999999999991E-3</v>
      </c>
      <c r="N87">
        <f t="shared" ref="N87" si="188">AVERAGE(N82:N86)</f>
        <v>12889.727411399999</v>
      </c>
      <c r="O87">
        <f t="shared" ref="O87" si="189">AVERAGE(O82:O86)</f>
        <v>2427.0930942</v>
      </c>
      <c r="P87">
        <f t="shared" ref="P87" si="190">AVERAGE(P82:P86)</f>
        <v>94.924476200000001</v>
      </c>
    </row>
    <row r="88" spans="1:16" x14ac:dyDescent="0.3">
      <c r="A88" t="s">
        <v>42</v>
      </c>
      <c r="B88">
        <f>STDEV(B82:B86)</f>
        <v>0</v>
      </c>
      <c r="C88">
        <f t="shared" ref="C88:P88" si="191">STDEV(C82:C86)</f>
        <v>31.643324730502012</v>
      </c>
      <c r="D88">
        <f t="shared" si="191"/>
        <v>9.1220052529583678E-2</v>
      </c>
      <c r="E88">
        <f t="shared" si="191"/>
        <v>5.8466793205203253E-2</v>
      </c>
      <c r="F88">
        <f t="shared" si="191"/>
        <v>1.3206663848224502E-3</v>
      </c>
      <c r="G88">
        <f t="shared" si="191"/>
        <v>147.90560302303635</v>
      </c>
      <c r="H88">
        <f t="shared" si="191"/>
        <v>9.5700347961749071E-3</v>
      </c>
      <c r="I88">
        <f t="shared" si="191"/>
        <v>5.2980578196165549E-2</v>
      </c>
      <c r="J88">
        <f t="shared" si="191"/>
        <v>2.2969912494391433E-3</v>
      </c>
      <c r="K88">
        <f t="shared" si="191"/>
        <v>3.9649938461490527E-3</v>
      </c>
      <c r="L88">
        <f t="shared" si="191"/>
        <v>6.9234022200071587E-3</v>
      </c>
      <c r="M88">
        <f t="shared" si="191"/>
        <v>2.2969912494391433E-3</v>
      </c>
      <c r="N88">
        <f t="shared" si="191"/>
        <v>1550.6723799862712</v>
      </c>
      <c r="O88">
        <f t="shared" si="191"/>
        <v>292.42036878318669</v>
      </c>
      <c r="P88">
        <f t="shared" si="191"/>
        <v>9.3030313844985617</v>
      </c>
    </row>
    <row r="89" spans="1:16" x14ac:dyDescent="0.3">
      <c r="A89" t="s">
        <v>43</v>
      </c>
      <c r="B89">
        <f>(B88/(SQRT(COUNT(B82:B86))))</f>
        <v>0</v>
      </c>
      <c r="C89">
        <f t="shared" ref="C89" si="192">(C88/(SQRT(COUNT(C82:C86))))</f>
        <v>14.151325026300542</v>
      </c>
      <c r="D89">
        <f t="shared" ref="D89" si="193">(D88/(SQRT(COUNT(D82:D86))))</f>
        <v>4.0794847673450145E-2</v>
      </c>
      <c r="E89">
        <f t="shared" ref="E89" si="194">(E88/(SQRT(COUNT(E82:E86))))</f>
        <v>2.6147144806651455E-2</v>
      </c>
      <c r="F89">
        <f t="shared" ref="F89" si="195">(F88/(SQRT(COUNT(F82:F86))))</f>
        <v>5.9061996241237898E-4</v>
      </c>
      <c r="G89">
        <f t="shared" ref="G89" si="196">(G88/(SQRT(COUNT(G82:G86))))</f>
        <v>66.145396522521537</v>
      </c>
      <c r="H89">
        <f t="shared" ref="H89" si="197">(H88/(SQRT(COUNT(H82:H86))))</f>
        <v>4.2798496702570873E-3</v>
      </c>
      <c r="I89">
        <f t="shared" ref="I89" si="198">(I88/(SQRT(COUNT(I82:I86))))</f>
        <v>2.369363486677387E-2</v>
      </c>
      <c r="J89">
        <f t="shared" ref="J89" si="199">(J88/(SQRT(COUNT(J82:J86))))</f>
        <v>1.0272457154936201E-3</v>
      </c>
      <c r="K89">
        <f t="shared" ref="K89" si="200">(K88/(SQRT(COUNT(K82:K86))))</f>
        <v>1.7731991540715249E-3</v>
      </c>
      <c r="L89">
        <f t="shared" ref="L89" si="201">(L88/(SQRT(COUNT(L82:L86))))</f>
        <v>3.0962395999017921E-3</v>
      </c>
      <c r="M89">
        <f t="shared" ref="M89" si="202">(M88/(SQRT(COUNT(M82:M86))))</f>
        <v>1.0272457154936201E-3</v>
      </c>
      <c r="N89">
        <f t="shared" ref="N89" si="203">(N88/(SQRT(COUNT(N82:N86))))</f>
        <v>693.4817704961373</v>
      </c>
      <c r="O89">
        <f t="shared" ref="O89" si="204">(O88/(SQRT(COUNT(O82:O86))))</f>
        <v>130.77436452095256</v>
      </c>
      <c r="P89">
        <f t="shared" ref="P89" si="205">(P88/(SQRT(COUNT(P82:P86))))</f>
        <v>4.1604421145105537</v>
      </c>
    </row>
    <row r="91" spans="1:16" x14ac:dyDescent="0.3">
      <c r="A91" t="s">
        <v>72</v>
      </c>
    </row>
    <row r="92" spans="1:16" x14ac:dyDescent="0.3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14</v>
      </c>
      <c r="P92" t="s">
        <v>15</v>
      </c>
    </row>
    <row r="93" spans="1:16" x14ac:dyDescent="0.3">
      <c r="A93" t="s">
        <v>67</v>
      </c>
      <c r="B93">
        <v>8</v>
      </c>
      <c r="C93">
        <v>650</v>
      </c>
      <c r="D93">
        <v>3.370692</v>
      </c>
      <c r="E93">
        <v>2.307404</v>
      </c>
      <c r="F93">
        <v>9.0504000000000001E-2</v>
      </c>
      <c r="G93">
        <v>2190.9497999999999</v>
      </c>
      <c r="H93">
        <v>1.1261509999999999</v>
      </c>
      <c r="I93">
        <v>0.247447</v>
      </c>
      <c r="J93">
        <v>9.7059999999999994E-3</v>
      </c>
      <c r="K93">
        <v>0.83524299999999996</v>
      </c>
      <c r="L93">
        <v>0.126747</v>
      </c>
      <c r="M93">
        <v>9.7059999999999994E-3</v>
      </c>
      <c r="N93">
        <v>23641.151051000001</v>
      </c>
      <c r="O93">
        <v>6513.9769960000003</v>
      </c>
      <c r="P93">
        <v>255.499199</v>
      </c>
    </row>
    <row r="94" spans="1:16" x14ac:dyDescent="0.3">
      <c r="A94" t="s">
        <v>68</v>
      </c>
      <c r="B94">
        <v>8</v>
      </c>
      <c r="C94">
        <v>585</v>
      </c>
      <c r="D94">
        <v>3.6640929999999998</v>
      </c>
      <c r="E94">
        <v>2.5864050000000001</v>
      </c>
      <c r="F94">
        <v>0.106935</v>
      </c>
      <c r="G94">
        <v>2143.4946</v>
      </c>
      <c r="H94">
        <v>1.1561429999999999</v>
      </c>
      <c r="I94">
        <v>0.42547699999999999</v>
      </c>
      <c r="J94">
        <v>1.7590999999999999E-2</v>
      </c>
      <c r="K94">
        <v>0.85505699999999996</v>
      </c>
      <c r="L94">
        <v>0.130216</v>
      </c>
      <c r="M94">
        <v>1.7590999999999999E-2</v>
      </c>
      <c r="N94">
        <v>23928.057810999999</v>
      </c>
      <c r="O94">
        <v>7090.3090430000002</v>
      </c>
      <c r="P94">
        <v>293.14819999999997</v>
      </c>
    </row>
    <row r="95" spans="1:16" x14ac:dyDescent="0.3">
      <c r="A95" t="s">
        <v>69</v>
      </c>
      <c r="B95">
        <v>8</v>
      </c>
      <c r="C95">
        <v>637</v>
      </c>
      <c r="D95">
        <v>3.7525430000000002</v>
      </c>
      <c r="E95">
        <v>2.8557839999999999</v>
      </c>
      <c r="F95">
        <v>0.11315</v>
      </c>
      <c r="G95">
        <v>2390.3697999999999</v>
      </c>
      <c r="H95">
        <v>1.1392709999999999</v>
      </c>
      <c r="I95">
        <v>0.28389199999999998</v>
      </c>
      <c r="J95">
        <v>1.1247999999999999E-2</v>
      </c>
      <c r="K95">
        <v>0.859236</v>
      </c>
      <c r="L95">
        <v>0.115677</v>
      </c>
      <c r="M95">
        <v>1.1247999999999999E-2</v>
      </c>
      <c r="N95">
        <v>24604.583049000001</v>
      </c>
      <c r="O95">
        <v>7339.5915070000001</v>
      </c>
      <c r="P95">
        <v>290.80520300000001</v>
      </c>
    </row>
    <row r="96" spans="1:16" x14ac:dyDescent="0.3">
      <c r="A96" t="s">
        <v>70</v>
      </c>
      <c r="B96">
        <v>8</v>
      </c>
      <c r="C96">
        <v>658</v>
      </c>
      <c r="D96">
        <v>3.8162919999999998</v>
      </c>
      <c r="E96">
        <v>2.899127</v>
      </c>
      <c r="F96">
        <v>0.11302</v>
      </c>
      <c r="G96">
        <v>2511.1203</v>
      </c>
      <c r="H96">
        <v>1.1196269999999999</v>
      </c>
      <c r="I96">
        <v>0.28697499999999998</v>
      </c>
      <c r="J96">
        <v>1.1187000000000001E-2</v>
      </c>
      <c r="K96">
        <v>0.83443500000000004</v>
      </c>
      <c r="L96">
        <v>0.13388800000000001</v>
      </c>
      <c r="M96">
        <v>1.1187000000000001E-2</v>
      </c>
      <c r="N96">
        <v>24994.693289999999</v>
      </c>
      <c r="O96">
        <v>7219.5931360000004</v>
      </c>
      <c r="P96">
        <v>281.44904300000002</v>
      </c>
    </row>
    <row r="97" spans="1:16" x14ac:dyDescent="0.3">
      <c r="A97" t="s">
        <v>71</v>
      </c>
      <c r="B97">
        <v>8</v>
      </c>
      <c r="C97">
        <v>647</v>
      </c>
      <c r="D97">
        <v>3.7933319999999999</v>
      </c>
      <c r="E97">
        <v>2.8920330000000001</v>
      </c>
      <c r="F97">
        <v>0.11369799999999999</v>
      </c>
      <c r="G97">
        <v>2454.2856000000002</v>
      </c>
      <c r="H97">
        <v>1.162709</v>
      </c>
      <c r="I97">
        <v>0.545767</v>
      </c>
      <c r="J97">
        <v>2.1455999999999999E-2</v>
      </c>
      <c r="K97">
        <v>0.83470599999999995</v>
      </c>
      <c r="L97">
        <v>0.135293</v>
      </c>
      <c r="M97">
        <v>2.1455999999999999E-2</v>
      </c>
      <c r="N97">
        <v>25187.070082999999</v>
      </c>
      <c r="O97">
        <v>7103.4803739999998</v>
      </c>
      <c r="P97">
        <v>279.26663000000002</v>
      </c>
    </row>
    <row r="98" spans="1:16" x14ac:dyDescent="0.3">
      <c r="A98" t="s">
        <v>41</v>
      </c>
      <c r="B98">
        <f>AVERAGE(B93:B97)</f>
        <v>8</v>
      </c>
      <c r="C98">
        <f t="shared" ref="C98" si="206">AVERAGE(C93:C97)</f>
        <v>635.4</v>
      </c>
      <c r="D98">
        <f t="shared" ref="D98" si="207">AVERAGE(D93:D97)</f>
        <v>3.6793903999999999</v>
      </c>
      <c r="E98">
        <f t="shared" ref="E98" si="208">AVERAGE(E93:E97)</f>
        <v>2.7081506000000002</v>
      </c>
      <c r="F98">
        <f t="shared" ref="F98" si="209">AVERAGE(F93:F97)</f>
        <v>0.1074614</v>
      </c>
      <c r="G98">
        <f t="shared" ref="G98" si="210">AVERAGE(G93:G97)</f>
        <v>2338.0440200000003</v>
      </c>
      <c r="H98">
        <f t="shared" ref="H98" si="211">AVERAGE(H93:H97)</f>
        <v>1.1407802</v>
      </c>
      <c r="I98">
        <f t="shared" ref="I98" si="212">AVERAGE(I93:I97)</f>
        <v>0.3579116</v>
      </c>
      <c r="J98">
        <f t="shared" ref="J98" si="213">AVERAGE(J93:J97)</f>
        <v>1.42376E-2</v>
      </c>
      <c r="K98">
        <f t="shared" ref="K98" si="214">AVERAGE(K93:K97)</f>
        <v>0.84373539999999991</v>
      </c>
      <c r="L98">
        <f t="shared" ref="L98" si="215">AVERAGE(L93:L97)</f>
        <v>0.12836419999999998</v>
      </c>
      <c r="M98">
        <f t="shared" ref="M98" si="216">AVERAGE(M93:M97)</f>
        <v>1.42376E-2</v>
      </c>
      <c r="N98">
        <f t="shared" ref="N98" si="217">AVERAGE(N93:N97)</f>
        <v>24471.1110568</v>
      </c>
      <c r="O98">
        <f t="shared" ref="O98" si="218">AVERAGE(O93:O97)</f>
        <v>7053.3902111999996</v>
      </c>
      <c r="P98">
        <f t="shared" ref="P98" si="219">AVERAGE(P93:P97)</f>
        <v>280.03365500000001</v>
      </c>
    </row>
    <row r="99" spans="1:16" x14ac:dyDescent="0.3">
      <c r="A99" t="s">
        <v>42</v>
      </c>
      <c r="B99">
        <f>STDEV(B93:B97)</f>
        <v>0</v>
      </c>
      <c r="C99">
        <f t="shared" ref="C99:P99" si="220">STDEV(C93:C97)</f>
        <v>29.159903977894029</v>
      </c>
      <c r="D99">
        <f t="shared" si="220"/>
        <v>0.18207467684249776</v>
      </c>
      <c r="E99">
        <f t="shared" si="220"/>
        <v>0.25860209382040972</v>
      </c>
      <c r="F99">
        <f t="shared" si="220"/>
        <v>9.8740049523989987E-3</v>
      </c>
      <c r="G99">
        <f t="shared" si="220"/>
        <v>162.55128210190168</v>
      </c>
      <c r="H99">
        <f t="shared" si="220"/>
        <v>1.8578461594007209E-2</v>
      </c>
      <c r="I99">
        <f t="shared" si="220"/>
        <v>0.12506804632199225</v>
      </c>
      <c r="J99">
        <f t="shared" si="220"/>
        <v>5.0529658914344518E-3</v>
      </c>
      <c r="K99">
        <f t="shared" si="220"/>
        <v>1.2334865110733881E-2</v>
      </c>
      <c r="L99">
        <f t="shared" si="220"/>
        <v>7.8347013153023254E-3</v>
      </c>
      <c r="M99">
        <f t="shared" si="220"/>
        <v>5.0529658914344518E-3</v>
      </c>
      <c r="N99">
        <f t="shared" si="220"/>
        <v>668.63497026091102</v>
      </c>
      <c r="O99">
        <f t="shared" si="220"/>
        <v>317.9517397392575</v>
      </c>
      <c r="P99">
        <f t="shared" si="220"/>
        <v>14.937776931578821</v>
      </c>
    </row>
    <row r="100" spans="1:16" x14ac:dyDescent="0.3">
      <c r="A100" t="s">
        <v>43</v>
      </c>
      <c r="B100">
        <f>(B99/(SQRT(COUNT(B93:B97))))</f>
        <v>0</v>
      </c>
      <c r="C100">
        <f t="shared" ref="C100" si="221">(C99/(SQRT(COUNT(C93:C97))))</f>
        <v>13.040705502387514</v>
      </c>
      <c r="D100">
        <f t="shared" ref="D100" si="222">(D99/(SQRT(COUNT(D93:D97))))</f>
        <v>8.1426270880226345E-2</v>
      </c>
      <c r="E100">
        <f t="shared" ref="E100" si="223">(E99/(SQRT(COUNT(E93:E97))))</f>
        <v>0.11565037218124288</v>
      </c>
      <c r="F100">
        <f t="shared" ref="F100" si="224">(F99/(SQRT(COUNT(F93:F97))))</f>
        <v>4.415789256746747E-3</v>
      </c>
      <c r="G100">
        <f t="shared" ref="G100" si="225">(G99/(SQRT(COUNT(G93:G97))))</f>
        <v>72.695143321919403</v>
      </c>
      <c r="H100">
        <f t="shared" ref="H100" si="226">(H99/(SQRT(COUNT(H93:H97))))</f>
        <v>8.3085406083138434E-3</v>
      </c>
      <c r="I100">
        <f t="shared" ref="I100" si="227">(I99/(SQRT(COUNT(I93:I97))))</f>
        <v>5.5932130677813441E-2</v>
      </c>
      <c r="J100">
        <f t="shared" ref="J100" si="228">(J99/(SQRT(COUNT(J93:J97))))</f>
        <v>2.2597550442470513E-3</v>
      </c>
      <c r="K100">
        <f t="shared" ref="K100" si="229">(K99/(SQRT(COUNT(K93:K97))))</f>
        <v>5.5163193761782851E-3</v>
      </c>
      <c r="L100">
        <f t="shared" ref="L100" si="230">(L99/(SQRT(COUNT(L93:L97))))</f>
        <v>3.5037849448846022E-3</v>
      </c>
      <c r="M100">
        <f t="shared" ref="M100" si="231">(M99/(SQRT(COUNT(M93:M97))))</f>
        <v>2.2597550442470513E-3</v>
      </c>
      <c r="N100">
        <f t="shared" ref="N100" si="232">(N99/(SQRT(COUNT(N93:N97))))</f>
        <v>299.02264912738946</v>
      </c>
      <c r="O100">
        <f t="shared" ref="O100" si="233">(O99/(SQRT(COUNT(O93:O97))))</f>
        <v>142.19234072426019</v>
      </c>
      <c r="P100">
        <f t="shared" ref="P100" si="234">(P99/(SQRT(COUNT(P93:P97))))</f>
        <v>6.680376930347693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Figure Panels</vt:lpstr>
      <vt:lpstr>Imported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Rhine</dc:creator>
  <cp:lastModifiedBy>Kevin Rhine</cp:lastModifiedBy>
  <cp:lastPrinted>2022-04-22T17:33:33Z</cp:lastPrinted>
  <dcterms:created xsi:type="dcterms:W3CDTF">2022-02-01T20:19:01Z</dcterms:created>
  <dcterms:modified xsi:type="dcterms:W3CDTF">2022-04-22T17:42:33Z</dcterms:modified>
</cp:coreProperties>
</file>