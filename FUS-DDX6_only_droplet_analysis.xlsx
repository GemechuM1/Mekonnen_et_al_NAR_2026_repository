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2.xml" ContentType="application/vnd.openxmlformats-officedocument.themeOverrid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gmekonn1_jh_edu/Documents/Data/Droplet_Data/WT FUS + WT DDX6/20220120 DDX6/"/>
    </mc:Choice>
  </mc:AlternateContent>
  <xr:revisionPtr revIDLastSave="773" documentId="14_{483113B2-5AD5-2F4A-BAF5-D51431B468E1}" xr6:coauthVersionLast="47" xr6:coauthVersionMax="47" xr10:uidLastSave="{D237BF12-8D53-6A4A-BD9C-942469E23015}"/>
  <bookViews>
    <workbookView xWindow="1000" yWindow="600" windowWidth="27800" windowHeight="16180" activeTab="2" xr2:uid="{A0943367-7E23-AA40-970D-CC697D5724A3}"/>
  </bookViews>
  <sheets>
    <sheet name="Final analysis" sheetId="2" r:id="rId1"/>
    <sheet name="Sheet1" sheetId="1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" l="1"/>
  <c r="H11" i="3"/>
  <c r="S11" i="3" s="1"/>
  <c r="M7" i="2"/>
  <c r="U50" i="3"/>
  <c r="U45" i="3"/>
  <c r="U25" i="3"/>
  <c r="U40" i="3"/>
  <c r="U35" i="3"/>
  <c r="U30" i="3"/>
  <c r="U20" i="3"/>
  <c r="U15" i="3"/>
  <c r="U11" i="3"/>
  <c r="T50" i="3"/>
  <c r="T45" i="3"/>
  <c r="T15" i="3"/>
  <c r="T20" i="3"/>
  <c r="T25" i="3"/>
  <c r="T40" i="3"/>
  <c r="T35" i="3"/>
  <c r="T30" i="3"/>
  <c r="T11" i="3"/>
  <c r="S50" i="3"/>
  <c r="S45" i="3"/>
  <c r="S40" i="3"/>
  <c r="S35" i="3"/>
  <c r="S30" i="3"/>
  <c r="S15" i="3"/>
  <c r="S20" i="3"/>
  <c r="S25" i="3"/>
  <c r="Q50" i="3"/>
  <c r="P50" i="3"/>
  <c r="O50" i="3"/>
  <c r="Q45" i="3"/>
  <c r="Q40" i="3"/>
  <c r="Q35" i="3"/>
  <c r="Q30" i="3"/>
  <c r="Q25" i="3"/>
  <c r="Q20" i="3"/>
  <c r="Q15" i="3"/>
  <c r="Q11" i="3"/>
  <c r="P25" i="3"/>
  <c r="P20" i="3"/>
  <c r="P15" i="3"/>
  <c r="P11" i="3"/>
  <c r="P30" i="3"/>
  <c r="P35" i="3"/>
  <c r="P40" i="3"/>
  <c r="P45" i="3"/>
  <c r="M50" i="3"/>
  <c r="M45" i="3"/>
  <c r="O45" i="3"/>
  <c r="M40" i="3"/>
  <c r="M35" i="3"/>
  <c r="M30" i="3"/>
  <c r="M25" i="3"/>
  <c r="M20" i="3"/>
  <c r="M15" i="3"/>
  <c r="M11" i="3"/>
  <c r="O40" i="3"/>
  <c r="O35" i="3"/>
  <c r="O30" i="3"/>
  <c r="O25" i="3"/>
  <c r="O20" i="3"/>
  <c r="O15" i="3"/>
  <c r="L50" i="3"/>
  <c r="K50" i="3"/>
  <c r="J50" i="3"/>
  <c r="I50" i="3"/>
  <c r="H50" i="3"/>
  <c r="L45" i="3"/>
  <c r="K45" i="3"/>
  <c r="J45" i="3"/>
  <c r="I45" i="3"/>
  <c r="H45" i="3"/>
  <c r="L40" i="3"/>
  <c r="K40" i="3"/>
  <c r="J40" i="3"/>
  <c r="I40" i="3"/>
  <c r="H40" i="3"/>
  <c r="L35" i="3"/>
  <c r="K35" i="3"/>
  <c r="J35" i="3"/>
  <c r="I35" i="3"/>
  <c r="H35" i="3"/>
  <c r="L30" i="3"/>
  <c r="K30" i="3"/>
  <c r="J30" i="3"/>
  <c r="I30" i="3"/>
  <c r="H30" i="3"/>
  <c r="L25" i="3"/>
  <c r="K25" i="3"/>
  <c r="J25" i="3"/>
  <c r="I25" i="3"/>
  <c r="H25" i="3"/>
  <c r="I20" i="3"/>
  <c r="J20" i="3"/>
  <c r="K20" i="3"/>
  <c r="L20" i="3"/>
  <c r="H20" i="3"/>
  <c r="I15" i="3"/>
  <c r="J15" i="3"/>
  <c r="K15" i="3"/>
  <c r="L15" i="3"/>
  <c r="H15" i="3"/>
  <c r="J11" i="3"/>
  <c r="K11" i="3"/>
  <c r="L11" i="3"/>
  <c r="I11" i="2"/>
  <c r="I7" i="2"/>
  <c r="I45" i="2"/>
  <c r="H55" i="2"/>
  <c r="H50" i="2"/>
  <c r="H45" i="2"/>
  <c r="M85" i="2"/>
  <c r="L85" i="2"/>
  <c r="K85" i="2"/>
  <c r="J85" i="2"/>
  <c r="I85" i="2"/>
  <c r="H85" i="2"/>
  <c r="M80" i="2"/>
  <c r="L80" i="2"/>
  <c r="K80" i="2"/>
  <c r="J80" i="2"/>
  <c r="I80" i="2"/>
  <c r="H80" i="2"/>
  <c r="M75" i="2"/>
  <c r="L75" i="2"/>
  <c r="K75" i="2"/>
  <c r="J75" i="2"/>
  <c r="I75" i="2"/>
  <c r="H75" i="2"/>
  <c r="M70" i="2"/>
  <c r="L70" i="2"/>
  <c r="K70" i="2"/>
  <c r="J70" i="2"/>
  <c r="I70" i="2"/>
  <c r="H70" i="2"/>
  <c r="M65" i="2"/>
  <c r="L65" i="2"/>
  <c r="K65" i="2"/>
  <c r="J65" i="2"/>
  <c r="I65" i="2"/>
  <c r="H65" i="2"/>
  <c r="M60" i="2"/>
  <c r="L60" i="2"/>
  <c r="K60" i="2"/>
  <c r="J60" i="2"/>
  <c r="I60" i="2"/>
  <c r="H60" i="2"/>
  <c r="M55" i="2"/>
  <c r="L55" i="2"/>
  <c r="K55" i="2"/>
  <c r="J55" i="2"/>
  <c r="I55" i="2"/>
  <c r="M50" i="2"/>
  <c r="L50" i="2"/>
  <c r="K50" i="2"/>
  <c r="J50" i="2"/>
  <c r="I50" i="2"/>
  <c r="M45" i="2"/>
  <c r="L45" i="2"/>
  <c r="K45" i="2"/>
  <c r="J45" i="2"/>
  <c r="X102" i="1"/>
  <c r="W102" i="1"/>
  <c r="V102" i="1"/>
  <c r="U102" i="1"/>
  <c r="T102" i="1"/>
  <c r="S102" i="1"/>
  <c r="X97" i="1"/>
  <c r="W97" i="1"/>
  <c r="V97" i="1"/>
  <c r="U97" i="1"/>
  <c r="T97" i="1"/>
  <c r="S97" i="1"/>
  <c r="X92" i="1"/>
  <c r="W92" i="1"/>
  <c r="V92" i="1"/>
  <c r="U92" i="1"/>
  <c r="T92" i="1"/>
  <c r="S92" i="1"/>
  <c r="X87" i="1"/>
  <c r="W87" i="1"/>
  <c r="V87" i="1"/>
  <c r="U87" i="1"/>
  <c r="T87" i="1"/>
  <c r="S87" i="1"/>
  <c r="X82" i="1"/>
  <c r="W82" i="1"/>
  <c r="V82" i="1"/>
  <c r="U82" i="1"/>
  <c r="T82" i="1"/>
  <c r="S82" i="1"/>
  <c r="X77" i="1"/>
  <c r="W77" i="1"/>
  <c r="V77" i="1"/>
  <c r="U77" i="1"/>
  <c r="T77" i="1"/>
  <c r="S77" i="1"/>
  <c r="X72" i="1"/>
  <c r="W72" i="1"/>
  <c r="V72" i="1"/>
  <c r="U72" i="1"/>
  <c r="T72" i="1"/>
  <c r="S72" i="1"/>
  <c r="X67" i="1"/>
  <c r="W67" i="1"/>
  <c r="V67" i="1"/>
  <c r="U67" i="1"/>
  <c r="T67" i="1"/>
  <c r="S67" i="1"/>
  <c r="X62" i="1"/>
  <c r="W62" i="1"/>
  <c r="V62" i="1"/>
  <c r="U62" i="1"/>
  <c r="T62" i="1"/>
  <c r="S62" i="1"/>
  <c r="S54" i="1"/>
  <c r="S53" i="1"/>
  <c r="S52" i="1"/>
  <c r="S51" i="1"/>
  <c r="S50" i="1"/>
  <c r="S49" i="1"/>
  <c r="S48" i="1"/>
  <c r="S47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R6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R41" i="1"/>
  <c r="R36" i="1"/>
  <c r="R31" i="1"/>
  <c r="R26" i="1"/>
  <c r="R21" i="1"/>
  <c r="R16" i="1"/>
  <c r="R11" i="1"/>
  <c r="O11" i="3" l="1"/>
</calcChain>
</file>

<file path=xl/sharedStrings.xml><?xml version="1.0" encoding="utf-8"?>
<sst xmlns="http://schemas.openxmlformats.org/spreadsheetml/2006/main" count="130" uniqueCount="69">
  <si>
    <t>Filename</t>
  </si>
  <si>
    <t>Mask Method</t>
  </si>
  <si>
    <t>Number of Droplets</t>
  </si>
  <si>
    <t>Mean Area</t>
  </si>
  <si>
    <t>Area STDEV</t>
  </si>
  <si>
    <t>Area SEM</t>
  </si>
  <si>
    <t>Total Area</t>
  </si>
  <si>
    <t>Mean Circularity</t>
  </si>
  <si>
    <t>Circularity STDEV</t>
  </si>
  <si>
    <t>Circularity SEM</t>
  </si>
  <si>
    <t>Mean AR</t>
  </si>
  <si>
    <t>AR STDEV</t>
  </si>
  <si>
    <t>AR SEM</t>
  </si>
  <si>
    <t>Mean Intensity</t>
  </si>
  <si>
    <t>Intensity STDEV</t>
  </si>
  <si>
    <t>Intensity SEM</t>
  </si>
  <si>
    <t>1001.tif</t>
  </si>
  <si>
    <t>1002.tif</t>
  </si>
  <si>
    <t>1003.tif</t>
  </si>
  <si>
    <t>1004.tif</t>
  </si>
  <si>
    <t>1005.tif</t>
  </si>
  <si>
    <t>1021.tif</t>
  </si>
  <si>
    <t>1022.tif</t>
  </si>
  <si>
    <t>1023.tif</t>
  </si>
  <si>
    <t>1024.tif</t>
  </si>
  <si>
    <t>1025.tif</t>
  </si>
  <si>
    <t>1026.tif</t>
  </si>
  <si>
    <t>1027.tif</t>
  </si>
  <si>
    <t>1028.tif</t>
  </si>
  <si>
    <t>1029.tif</t>
  </si>
  <si>
    <t>1030.tif</t>
  </si>
  <si>
    <t>1031.tif</t>
  </si>
  <si>
    <t>1032.tif</t>
  </si>
  <si>
    <t>1033.tif</t>
  </si>
  <si>
    <t>1034.tif</t>
  </si>
  <si>
    <t>1035.tif</t>
  </si>
  <si>
    <t>1011.tif</t>
  </si>
  <si>
    <t>1012.tif</t>
  </si>
  <si>
    <t>1013.tif</t>
  </si>
  <si>
    <t>1014.tif</t>
  </si>
  <si>
    <t>1015.tif</t>
  </si>
  <si>
    <t>1006.tif</t>
  </si>
  <si>
    <t>1007.tif</t>
  </si>
  <si>
    <t>1008.tif</t>
  </si>
  <si>
    <t>1009.tif</t>
  </si>
  <si>
    <t>1010.tif</t>
  </si>
  <si>
    <t>1076.tif</t>
  </si>
  <si>
    <t>1077.tif</t>
  </si>
  <si>
    <t>1078.tif</t>
  </si>
  <si>
    <t>1079.tif</t>
  </si>
  <si>
    <t>1080.tif</t>
  </si>
  <si>
    <t>Number of Droplets r1</t>
  </si>
  <si>
    <t>Mean Area r2</t>
  </si>
  <si>
    <t>Number of Droplets r2</t>
  </si>
  <si>
    <t>[DDX6] (nM)</t>
  </si>
  <si>
    <t>count SEM</t>
  </si>
  <si>
    <t>TAE 1</t>
  </si>
  <si>
    <t>TAE 2</t>
  </si>
  <si>
    <t>Mean Area r1</t>
  </si>
  <si>
    <t>Count</t>
  </si>
  <si>
    <t xml:space="preserve">Area </t>
  </si>
  <si>
    <t>Total Area Coverage</t>
  </si>
  <si>
    <t>Cout SEM</t>
  </si>
  <si>
    <t>TEM SEM</t>
  </si>
  <si>
    <t>Mean Count</t>
  </si>
  <si>
    <t>Mean total Area</t>
  </si>
  <si>
    <t>Count SEM</t>
  </si>
  <si>
    <t>Total area SEM</t>
  </si>
  <si>
    <t>[DDX6]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</si>
</sst>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analysis'!$B$1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'Final analysis'!$E$2:$E$10</c:f>
                <c:numCache>
                  <c:formatCode>General</c:formatCode>
                  <c:ptCount val="9"/>
                  <c:pt idx="0">
                    <c:v>9.1470092258496045</c:v>
                  </c:pt>
                  <c:pt idx="1">
                    <c:v>17.575993728821011</c:v>
                  </c:pt>
                  <c:pt idx="2">
                    <c:v>62.638903424487133</c:v>
                  </c:pt>
                  <c:pt idx="3">
                    <c:v>73.688993599979185</c:v>
                  </c:pt>
                  <c:pt idx="4">
                    <c:v>100.14498378739582</c:v>
                  </c:pt>
                  <c:pt idx="5">
                    <c:v>51.756867499234822</c:v>
                  </c:pt>
                  <c:pt idx="6">
                    <c:v>48.165640127469338</c:v>
                  </c:pt>
                  <c:pt idx="7">
                    <c:v>25.144780770569465</c:v>
                  </c:pt>
                  <c:pt idx="8">
                    <c:v>17.146298596360541</c:v>
                  </c:pt>
                </c:numCache>
              </c:numRef>
            </c:plus>
            <c:minus>
              <c:numRef>
                <c:f>'Final analysis'!$E$2:$E$10</c:f>
                <c:numCache>
                  <c:formatCode>General</c:formatCode>
                  <c:ptCount val="9"/>
                  <c:pt idx="0">
                    <c:v>9.1470092258496045</c:v>
                  </c:pt>
                  <c:pt idx="1">
                    <c:v>17.575993728821011</c:v>
                  </c:pt>
                  <c:pt idx="2">
                    <c:v>62.638903424487133</c:v>
                  </c:pt>
                  <c:pt idx="3">
                    <c:v>73.688993599979185</c:v>
                  </c:pt>
                  <c:pt idx="4">
                    <c:v>100.14498378739582</c:v>
                  </c:pt>
                  <c:pt idx="5">
                    <c:v>51.756867499234822</c:v>
                  </c:pt>
                  <c:pt idx="6">
                    <c:v>48.165640127469338</c:v>
                  </c:pt>
                  <c:pt idx="7">
                    <c:v>25.144780770569465</c:v>
                  </c:pt>
                  <c:pt idx="8">
                    <c:v>17.146298596360541</c:v>
                  </c:pt>
                </c:numCache>
              </c:numRef>
            </c:minus>
            <c:spPr>
              <a:noFill/>
              <a:ln w="28575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xVal>
            <c:numRef>
              <c:f>'Final analysis'!$A$2:$A$10</c:f>
              <c:numCache>
                <c:formatCode>General</c:formatCode>
                <c:ptCount val="9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4000</c:v>
                </c:pt>
              </c:numCache>
            </c:numRef>
          </c:xVal>
          <c:yVal>
            <c:numRef>
              <c:f>'Final analysis'!$B$2:$B$10</c:f>
              <c:numCache>
                <c:formatCode>General</c:formatCode>
                <c:ptCount val="9"/>
                <c:pt idx="0">
                  <c:v>677.7</c:v>
                </c:pt>
                <c:pt idx="1">
                  <c:v>697.6</c:v>
                </c:pt>
                <c:pt idx="2">
                  <c:v>809.9</c:v>
                </c:pt>
                <c:pt idx="3">
                  <c:v>684.3</c:v>
                </c:pt>
                <c:pt idx="4">
                  <c:v>1132.2</c:v>
                </c:pt>
                <c:pt idx="5">
                  <c:v>1397.2</c:v>
                </c:pt>
                <c:pt idx="6">
                  <c:v>1194.8</c:v>
                </c:pt>
                <c:pt idx="7">
                  <c:v>959.6</c:v>
                </c:pt>
                <c:pt idx="8">
                  <c:v>697.8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scatterChart>
        <c:scatterStyle val="lineMarker"/>
        <c:varyColors val="0"/>
        <c:ser>
          <c:idx val="1"/>
          <c:order val="1"/>
          <c:tx>
            <c:strRef>
              <c:f>'Final analysis'!$C$1</c:f>
              <c:strCache>
                <c:ptCount val="1"/>
                <c:pt idx="0">
                  <c:v>Area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'Final analysis'!$F$2:$F$10</c:f>
                <c:numCache>
                  <c:formatCode>General</c:formatCode>
                  <c:ptCount val="9"/>
                  <c:pt idx="0">
                    <c:v>4.3002348219409285E-2</c:v>
                  </c:pt>
                  <c:pt idx="1">
                    <c:v>0.42720106618925924</c:v>
                  </c:pt>
                  <c:pt idx="2">
                    <c:v>0.2435588227147244</c:v>
                  </c:pt>
                  <c:pt idx="3">
                    <c:v>0.22215881265733423</c:v>
                  </c:pt>
                  <c:pt idx="4">
                    <c:v>0.17740978397485446</c:v>
                  </c:pt>
                  <c:pt idx="5">
                    <c:v>0.1191460463866649</c:v>
                  </c:pt>
                  <c:pt idx="6">
                    <c:v>0.15772555096393445</c:v>
                  </c:pt>
                  <c:pt idx="7">
                    <c:v>1.1677904976064874E-2</c:v>
                  </c:pt>
                  <c:pt idx="8">
                    <c:v>0.30620583814328567</c:v>
                  </c:pt>
                </c:numCache>
              </c:numRef>
            </c:plus>
            <c:minus>
              <c:numRef>
                <c:f>'Final analysis'!$F$2:$F$10</c:f>
                <c:numCache>
                  <c:formatCode>General</c:formatCode>
                  <c:ptCount val="9"/>
                  <c:pt idx="0">
                    <c:v>4.3002348219409285E-2</c:v>
                  </c:pt>
                  <c:pt idx="1">
                    <c:v>0.42720106618925924</c:v>
                  </c:pt>
                  <c:pt idx="2">
                    <c:v>0.2435588227147244</c:v>
                  </c:pt>
                  <c:pt idx="3">
                    <c:v>0.22215881265733423</c:v>
                  </c:pt>
                  <c:pt idx="4">
                    <c:v>0.17740978397485446</c:v>
                  </c:pt>
                  <c:pt idx="5">
                    <c:v>0.1191460463866649</c:v>
                  </c:pt>
                  <c:pt idx="6">
                    <c:v>0.15772555096393445</c:v>
                  </c:pt>
                  <c:pt idx="7">
                    <c:v>1.1677904976064874E-2</c:v>
                  </c:pt>
                  <c:pt idx="8">
                    <c:v>0.30620583814328567</c:v>
                  </c:pt>
                </c:numCache>
              </c:numRef>
            </c:minus>
            <c:spPr>
              <a:noFill/>
              <a:ln w="28575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xVal>
            <c:numRef>
              <c:f>'Final analysis'!$A$2:$A$10</c:f>
              <c:numCache>
                <c:formatCode>General</c:formatCode>
                <c:ptCount val="9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4000</c:v>
                </c:pt>
              </c:numCache>
            </c:numRef>
          </c:xVal>
          <c:yVal>
            <c:numRef>
              <c:f>'Final analysis'!$C$2:$C$10</c:f>
              <c:numCache>
                <c:formatCode>General</c:formatCode>
                <c:ptCount val="9"/>
                <c:pt idx="0">
                  <c:v>3.5589154999999999</c:v>
                </c:pt>
                <c:pt idx="1">
                  <c:v>2.0734757999999998</c:v>
                </c:pt>
                <c:pt idx="2">
                  <c:v>3.4606686</c:v>
                </c:pt>
                <c:pt idx="3">
                  <c:v>3.0763344999999997</c:v>
                </c:pt>
                <c:pt idx="4">
                  <c:v>2.0850245999999997</c:v>
                </c:pt>
                <c:pt idx="5">
                  <c:v>1.7466252</c:v>
                </c:pt>
                <c:pt idx="6">
                  <c:v>1.3468370999999999</c:v>
                </c:pt>
                <c:pt idx="7">
                  <c:v>2.2039453999999998</c:v>
                </c:pt>
                <c:pt idx="8">
                  <c:v>1.7098479000000002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31392"/>
        <c:axId val="1236163824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valAx>
        <c:axId val="12361638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31392"/>
        <c:crosses val="max"/>
        <c:crossBetween val="midCat"/>
      </c:valAx>
      <c:valAx>
        <c:axId val="1235631392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6163824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>
        <c:manualLayout>
          <c:xMode val="edge"/>
          <c:yMode val="edge"/>
          <c:x val="0.47343506650799538"/>
          <c:y val="2.14381680724754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analysis'!$D$1</c:f>
              <c:strCache>
                <c:ptCount val="1"/>
                <c:pt idx="0">
                  <c:v>Total Area Coverage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381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9.0352095127520266E-2"/>
                  <c:y val="6.0228712560496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/>
                      </a:solidFill>
                      <a:latin typeface="Helvetica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'Final analysis'!$G$2:$G$10</c:f>
                <c:numCache>
                  <c:formatCode>General</c:formatCode>
                  <c:ptCount val="9"/>
                  <c:pt idx="0">
                    <c:v>48.400728294136712</c:v>
                  </c:pt>
                  <c:pt idx="1">
                    <c:v>267.99078130056324</c:v>
                  </c:pt>
                  <c:pt idx="2">
                    <c:v>34.809217099067943</c:v>
                  </c:pt>
                  <c:pt idx="3">
                    <c:v>127.52085923937572</c:v>
                  </c:pt>
                  <c:pt idx="4">
                    <c:v>38.109846363072478</c:v>
                  </c:pt>
                  <c:pt idx="5">
                    <c:v>81.900478776953307</c:v>
                  </c:pt>
                  <c:pt idx="6">
                    <c:v>127.8174837994478</c:v>
                  </c:pt>
                  <c:pt idx="7">
                    <c:v>39.182117629982699</c:v>
                  </c:pt>
                  <c:pt idx="8">
                    <c:v>188.21064247010338</c:v>
                  </c:pt>
                </c:numCache>
              </c:numRef>
            </c:plus>
            <c:minus>
              <c:numRef>
                <c:f>'Final analysis'!$G$2:$G$10</c:f>
                <c:numCache>
                  <c:formatCode>General</c:formatCode>
                  <c:ptCount val="9"/>
                  <c:pt idx="0">
                    <c:v>48.400728294136712</c:v>
                  </c:pt>
                  <c:pt idx="1">
                    <c:v>267.99078130056324</c:v>
                  </c:pt>
                  <c:pt idx="2">
                    <c:v>34.809217099067943</c:v>
                  </c:pt>
                  <c:pt idx="3">
                    <c:v>127.52085923937572</c:v>
                  </c:pt>
                  <c:pt idx="4">
                    <c:v>38.109846363072478</c:v>
                  </c:pt>
                  <c:pt idx="5">
                    <c:v>81.900478776953307</c:v>
                  </c:pt>
                  <c:pt idx="6">
                    <c:v>127.8174837994478</c:v>
                  </c:pt>
                  <c:pt idx="7">
                    <c:v>39.182117629982699</c:v>
                  </c:pt>
                  <c:pt idx="8">
                    <c:v>188.21064247010338</c:v>
                  </c:pt>
                </c:numCache>
              </c:numRef>
            </c:minus>
            <c:spPr>
              <a:noFill/>
              <a:ln w="28575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xVal>
            <c:numRef>
              <c:f>'Final analysis'!$A$2:$A$10</c:f>
              <c:numCache>
                <c:formatCode>General</c:formatCode>
                <c:ptCount val="9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4000</c:v>
                </c:pt>
              </c:numCache>
            </c:numRef>
          </c:xVal>
          <c:yVal>
            <c:numRef>
              <c:f>'Final analysis'!$D$2:$D$10</c:f>
              <c:numCache>
                <c:formatCode>General</c:formatCode>
                <c:ptCount val="9"/>
                <c:pt idx="0">
                  <c:v>2412.6744199999994</c:v>
                </c:pt>
                <c:pt idx="1">
                  <c:v>1388.3671099999997</c:v>
                </c:pt>
                <c:pt idx="2">
                  <c:v>2666.5563599999996</c:v>
                </c:pt>
                <c:pt idx="3">
                  <c:v>1978.7753700000001</c:v>
                </c:pt>
                <c:pt idx="4">
                  <c:v>2202.7781100000002</c:v>
                </c:pt>
                <c:pt idx="5">
                  <c:v>2386.3780200000001</c:v>
                </c:pt>
                <c:pt idx="6">
                  <c:v>1543.81331</c:v>
                </c:pt>
                <c:pt idx="7">
                  <c:v>2114.73756</c:v>
                </c:pt>
                <c:pt idx="8">
                  <c:v>1151.34292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6-9041-83A3-27DD57D2B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[DDX6]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analysis'!$B$1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'Final analysis'!$E$2:$E$10</c:f>
                <c:numCache>
                  <c:formatCode>General</c:formatCode>
                  <c:ptCount val="9"/>
                  <c:pt idx="0">
                    <c:v>9.1470092258496045</c:v>
                  </c:pt>
                  <c:pt idx="1">
                    <c:v>17.575993728821011</c:v>
                  </c:pt>
                  <c:pt idx="2">
                    <c:v>62.638903424487133</c:v>
                  </c:pt>
                  <c:pt idx="3">
                    <c:v>73.688993599979185</c:v>
                  </c:pt>
                  <c:pt idx="4">
                    <c:v>100.14498378739582</c:v>
                  </c:pt>
                  <c:pt idx="5">
                    <c:v>51.756867499234822</c:v>
                  </c:pt>
                  <c:pt idx="6">
                    <c:v>48.165640127469338</c:v>
                  </c:pt>
                  <c:pt idx="7">
                    <c:v>25.144780770569465</c:v>
                  </c:pt>
                  <c:pt idx="8">
                    <c:v>17.146298596360541</c:v>
                  </c:pt>
                </c:numCache>
              </c:numRef>
            </c:plus>
            <c:minus>
              <c:numRef>
                <c:f>'Final analysis'!$E$2:$E$10</c:f>
                <c:numCache>
                  <c:formatCode>General</c:formatCode>
                  <c:ptCount val="9"/>
                  <c:pt idx="0">
                    <c:v>9.1470092258496045</c:v>
                  </c:pt>
                  <c:pt idx="1">
                    <c:v>17.575993728821011</c:v>
                  </c:pt>
                  <c:pt idx="2">
                    <c:v>62.638903424487133</c:v>
                  </c:pt>
                  <c:pt idx="3">
                    <c:v>73.688993599979185</c:v>
                  </c:pt>
                  <c:pt idx="4">
                    <c:v>100.14498378739582</c:v>
                  </c:pt>
                  <c:pt idx="5">
                    <c:v>51.756867499234822</c:v>
                  </c:pt>
                  <c:pt idx="6">
                    <c:v>48.165640127469338</c:v>
                  </c:pt>
                  <c:pt idx="7">
                    <c:v>25.144780770569465</c:v>
                  </c:pt>
                  <c:pt idx="8">
                    <c:v>17.146298596360541</c:v>
                  </c:pt>
                </c:numCache>
              </c:numRef>
            </c:minus>
            <c:spPr>
              <a:noFill/>
              <a:ln w="28575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xVal>
            <c:numRef>
              <c:f>'Final analysis'!$A$2:$A$10</c:f>
              <c:numCache>
                <c:formatCode>General</c:formatCode>
                <c:ptCount val="9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4000</c:v>
                </c:pt>
              </c:numCache>
            </c:numRef>
          </c:xVal>
          <c:yVal>
            <c:numRef>
              <c:f>'Final analysis'!$B$2:$B$10</c:f>
              <c:numCache>
                <c:formatCode>General</c:formatCode>
                <c:ptCount val="9"/>
                <c:pt idx="0">
                  <c:v>677.7</c:v>
                </c:pt>
                <c:pt idx="1">
                  <c:v>697.6</c:v>
                </c:pt>
                <c:pt idx="2">
                  <c:v>809.9</c:v>
                </c:pt>
                <c:pt idx="3">
                  <c:v>684.3</c:v>
                </c:pt>
                <c:pt idx="4">
                  <c:v>1132.2</c:v>
                </c:pt>
                <c:pt idx="5">
                  <c:v>1397.2</c:v>
                </c:pt>
                <c:pt idx="6">
                  <c:v>1194.8</c:v>
                </c:pt>
                <c:pt idx="7">
                  <c:v>959.6</c:v>
                </c:pt>
                <c:pt idx="8">
                  <c:v>697.8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11-8544-A88E-D0B14127C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scatterChart>
        <c:scatterStyle val="lineMarker"/>
        <c:varyColors val="0"/>
        <c:ser>
          <c:idx val="1"/>
          <c:order val="1"/>
          <c:tx>
            <c:strRef>
              <c:f>'Final analysis'!$C$1</c:f>
              <c:strCache>
                <c:ptCount val="1"/>
                <c:pt idx="0">
                  <c:v>Area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'Final analysis'!$F$2:$F$10</c:f>
                <c:numCache>
                  <c:formatCode>General</c:formatCode>
                  <c:ptCount val="9"/>
                  <c:pt idx="0">
                    <c:v>4.3002348219409285E-2</c:v>
                  </c:pt>
                  <c:pt idx="1">
                    <c:v>0.42720106618925924</c:v>
                  </c:pt>
                  <c:pt idx="2">
                    <c:v>0.2435588227147244</c:v>
                  </c:pt>
                  <c:pt idx="3">
                    <c:v>0.22215881265733423</c:v>
                  </c:pt>
                  <c:pt idx="4">
                    <c:v>0.17740978397485446</c:v>
                  </c:pt>
                  <c:pt idx="5">
                    <c:v>0.1191460463866649</c:v>
                  </c:pt>
                  <c:pt idx="6">
                    <c:v>0.15772555096393445</c:v>
                  </c:pt>
                  <c:pt idx="7">
                    <c:v>1.1677904976064874E-2</c:v>
                  </c:pt>
                  <c:pt idx="8">
                    <c:v>0.30620583814328567</c:v>
                  </c:pt>
                </c:numCache>
              </c:numRef>
            </c:plus>
            <c:minus>
              <c:numRef>
                <c:f>'Final analysis'!$F$2:$F$10</c:f>
                <c:numCache>
                  <c:formatCode>General</c:formatCode>
                  <c:ptCount val="9"/>
                  <c:pt idx="0">
                    <c:v>4.3002348219409285E-2</c:v>
                  </c:pt>
                  <c:pt idx="1">
                    <c:v>0.42720106618925924</c:v>
                  </c:pt>
                  <c:pt idx="2">
                    <c:v>0.2435588227147244</c:v>
                  </c:pt>
                  <c:pt idx="3">
                    <c:v>0.22215881265733423</c:v>
                  </c:pt>
                  <c:pt idx="4">
                    <c:v>0.17740978397485446</c:v>
                  </c:pt>
                  <c:pt idx="5">
                    <c:v>0.1191460463866649</c:v>
                  </c:pt>
                  <c:pt idx="6">
                    <c:v>0.15772555096393445</c:v>
                  </c:pt>
                  <c:pt idx="7">
                    <c:v>1.1677904976064874E-2</c:v>
                  </c:pt>
                  <c:pt idx="8">
                    <c:v>0.30620583814328567</c:v>
                  </c:pt>
                </c:numCache>
              </c:numRef>
            </c:minus>
            <c:spPr>
              <a:noFill/>
              <a:ln w="28575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xVal>
            <c:numRef>
              <c:f>'Final analysis'!$A$2:$A$10</c:f>
              <c:numCache>
                <c:formatCode>General</c:formatCode>
                <c:ptCount val="9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4000</c:v>
                </c:pt>
              </c:numCache>
            </c:numRef>
          </c:xVal>
          <c:yVal>
            <c:numRef>
              <c:f>'Final analysis'!$C$2:$C$10</c:f>
              <c:numCache>
                <c:formatCode>General</c:formatCode>
                <c:ptCount val="9"/>
                <c:pt idx="0">
                  <c:v>3.5589154999999999</c:v>
                </c:pt>
                <c:pt idx="1">
                  <c:v>2.0734757999999998</c:v>
                </c:pt>
                <c:pt idx="2">
                  <c:v>3.4606686</c:v>
                </c:pt>
                <c:pt idx="3">
                  <c:v>3.0763344999999997</c:v>
                </c:pt>
                <c:pt idx="4">
                  <c:v>2.0850245999999997</c:v>
                </c:pt>
                <c:pt idx="5">
                  <c:v>1.7466252</c:v>
                </c:pt>
                <c:pt idx="6">
                  <c:v>1.3468370999999999</c:v>
                </c:pt>
                <c:pt idx="7">
                  <c:v>2.2039453999999998</c:v>
                </c:pt>
                <c:pt idx="8">
                  <c:v>1.7098479000000002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11-8544-A88E-D0B14127C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31392"/>
        <c:axId val="1236163824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valAx>
        <c:axId val="12361638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31392"/>
        <c:crosses val="max"/>
        <c:crossBetween val="midCat"/>
      </c:valAx>
      <c:valAx>
        <c:axId val="1235631392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6163824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>
        <c:manualLayout>
          <c:xMode val="edge"/>
          <c:yMode val="edge"/>
          <c:x val="0.47343506650799538"/>
          <c:y val="2.14381680724754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analysis'!$D$1</c:f>
              <c:strCache>
                <c:ptCount val="1"/>
                <c:pt idx="0">
                  <c:v>Total Area Coverage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'Final analysis'!$G$2:$G$10</c:f>
                <c:numCache>
                  <c:formatCode>General</c:formatCode>
                  <c:ptCount val="9"/>
                  <c:pt idx="0">
                    <c:v>48.400728294136712</c:v>
                  </c:pt>
                  <c:pt idx="1">
                    <c:v>267.99078130056324</c:v>
                  </c:pt>
                  <c:pt idx="2">
                    <c:v>34.809217099067943</c:v>
                  </c:pt>
                  <c:pt idx="3">
                    <c:v>127.52085923937572</c:v>
                  </c:pt>
                  <c:pt idx="4">
                    <c:v>38.109846363072478</c:v>
                  </c:pt>
                  <c:pt idx="5">
                    <c:v>81.900478776953307</c:v>
                  </c:pt>
                  <c:pt idx="6">
                    <c:v>127.8174837994478</c:v>
                  </c:pt>
                  <c:pt idx="7">
                    <c:v>39.182117629982699</c:v>
                  </c:pt>
                  <c:pt idx="8">
                    <c:v>188.21064247010338</c:v>
                  </c:pt>
                </c:numCache>
              </c:numRef>
            </c:plus>
            <c:minus>
              <c:numRef>
                <c:f>'Final analysis'!$G$2:$G$10</c:f>
                <c:numCache>
                  <c:formatCode>General</c:formatCode>
                  <c:ptCount val="9"/>
                  <c:pt idx="0">
                    <c:v>48.400728294136712</c:v>
                  </c:pt>
                  <c:pt idx="1">
                    <c:v>267.99078130056324</c:v>
                  </c:pt>
                  <c:pt idx="2">
                    <c:v>34.809217099067943</c:v>
                  </c:pt>
                  <c:pt idx="3">
                    <c:v>127.52085923937572</c:v>
                  </c:pt>
                  <c:pt idx="4">
                    <c:v>38.109846363072478</c:v>
                  </c:pt>
                  <c:pt idx="5">
                    <c:v>81.900478776953307</c:v>
                  </c:pt>
                  <c:pt idx="6">
                    <c:v>127.8174837994478</c:v>
                  </c:pt>
                  <c:pt idx="7">
                    <c:v>39.182117629982699</c:v>
                  </c:pt>
                  <c:pt idx="8">
                    <c:v>188.21064247010338</c:v>
                  </c:pt>
                </c:numCache>
              </c:numRef>
            </c:minus>
            <c:spPr>
              <a:noFill/>
              <a:ln w="28575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xVal>
            <c:numRef>
              <c:f>'Final analysis'!$A$2:$A$10</c:f>
              <c:numCache>
                <c:formatCode>General</c:formatCode>
                <c:ptCount val="9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4000</c:v>
                </c:pt>
              </c:numCache>
            </c:numRef>
          </c:xVal>
          <c:yVal>
            <c:numRef>
              <c:f>'Final analysis'!$D$2:$D$10</c:f>
              <c:numCache>
                <c:formatCode>General</c:formatCode>
                <c:ptCount val="9"/>
                <c:pt idx="0">
                  <c:v>2412.6744199999994</c:v>
                </c:pt>
                <c:pt idx="1">
                  <c:v>1388.3671099999997</c:v>
                </c:pt>
                <c:pt idx="2">
                  <c:v>2666.5563599999996</c:v>
                </c:pt>
                <c:pt idx="3">
                  <c:v>1978.7753700000001</c:v>
                </c:pt>
                <c:pt idx="4">
                  <c:v>2202.7781100000002</c:v>
                </c:pt>
                <c:pt idx="5">
                  <c:v>2386.3780200000001</c:v>
                </c:pt>
                <c:pt idx="6">
                  <c:v>1543.81331</c:v>
                </c:pt>
                <c:pt idx="7">
                  <c:v>2114.73756</c:v>
                </c:pt>
                <c:pt idx="8">
                  <c:v>1151.34292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9D-514D-A931-247097087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[DDX6]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/>
              <a:t>WT FUS + WT DDX6 Droplet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analysis'!$B$1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'Final analysis'!$A$2:$A$9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</c:numCache>
            </c:numRef>
          </c:xVal>
          <c:yVal>
            <c:numRef>
              <c:f>'Final analysis'!$B$2:$B$9</c:f>
              <c:numCache>
                <c:formatCode>General</c:formatCode>
                <c:ptCount val="8"/>
                <c:pt idx="0">
                  <c:v>677.7</c:v>
                </c:pt>
                <c:pt idx="1">
                  <c:v>697.6</c:v>
                </c:pt>
                <c:pt idx="2">
                  <c:v>809.9</c:v>
                </c:pt>
                <c:pt idx="3">
                  <c:v>684.3</c:v>
                </c:pt>
                <c:pt idx="4">
                  <c:v>1132.2</c:v>
                </c:pt>
                <c:pt idx="5">
                  <c:v>1397.2</c:v>
                </c:pt>
                <c:pt idx="6">
                  <c:v>1194.8</c:v>
                </c:pt>
                <c:pt idx="7">
                  <c:v>959.6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45-9540-9433-060DBF6AF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963216"/>
        <c:axId val="444908544"/>
      </c:scatterChart>
      <c:valAx>
        <c:axId val="444963216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908544"/>
        <c:crosses val="autoZero"/>
        <c:crossBetween val="midCat"/>
      </c:valAx>
      <c:valAx>
        <c:axId val="44490854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963216"/>
        <c:crosses val="autoZero"/>
        <c:crossBetween val="midCat"/>
      </c:valAx>
      <c:spPr>
        <a:noFill/>
        <a:ln w="1905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analysis'!$C$1</c:f>
              <c:strCache>
                <c:ptCount val="1"/>
                <c:pt idx="0">
                  <c:v>Area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'Final analysis'!$A$2:$A$9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</c:numCache>
            </c:numRef>
          </c:xVal>
          <c:yVal>
            <c:numRef>
              <c:f>'Final analysis'!$C$2:$C$9</c:f>
              <c:numCache>
                <c:formatCode>General</c:formatCode>
                <c:ptCount val="8"/>
                <c:pt idx="0">
                  <c:v>3.5589154999999999</c:v>
                </c:pt>
                <c:pt idx="1">
                  <c:v>2.0734757999999998</c:v>
                </c:pt>
                <c:pt idx="2">
                  <c:v>3.4606686</c:v>
                </c:pt>
                <c:pt idx="3">
                  <c:v>3.0763344999999997</c:v>
                </c:pt>
                <c:pt idx="4">
                  <c:v>2.0850245999999997</c:v>
                </c:pt>
                <c:pt idx="5">
                  <c:v>1.7466252</c:v>
                </c:pt>
                <c:pt idx="6">
                  <c:v>1.3468370999999999</c:v>
                </c:pt>
                <c:pt idx="7">
                  <c:v>2.2039453999999998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5-0746-B24E-C15A9439E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963216"/>
        <c:axId val="444908544"/>
      </c:scatterChart>
      <c:valAx>
        <c:axId val="4449632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908544"/>
        <c:crosses val="autoZero"/>
        <c:crossBetween val="midCat"/>
      </c:valAx>
      <c:valAx>
        <c:axId val="44490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96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analysis'!$D$1</c:f>
              <c:strCache>
                <c:ptCount val="1"/>
                <c:pt idx="0">
                  <c:v>Total Area Coverage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'Final analysis'!$A$2:$A$9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</c:numCache>
            </c:numRef>
          </c:xVal>
          <c:yVal>
            <c:numRef>
              <c:f>'Final analysis'!$D$2:$D$9</c:f>
              <c:numCache>
                <c:formatCode>General</c:formatCode>
                <c:ptCount val="8"/>
                <c:pt idx="0">
                  <c:v>2412.6744199999994</c:v>
                </c:pt>
                <c:pt idx="1">
                  <c:v>1388.3671099999997</c:v>
                </c:pt>
                <c:pt idx="2">
                  <c:v>2666.5563599999996</c:v>
                </c:pt>
                <c:pt idx="3">
                  <c:v>1978.7753700000001</c:v>
                </c:pt>
                <c:pt idx="4">
                  <c:v>2202.7781100000002</c:v>
                </c:pt>
                <c:pt idx="5">
                  <c:v>2386.3780200000001</c:v>
                </c:pt>
                <c:pt idx="6">
                  <c:v>1543.81331</c:v>
                </c:pt>
                <c:pt idx="7">
                  <c:v>2114.73756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1-2F4D-B74C-9AC9792FA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963216"/>
        <c:axId val="444908544"/>
      </c:scatterChart>
      <c:valAx>
        <c:axId val="4449632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908544"/>
        <c:crosses val="autoZero"/>
        <c:crossBetween val="midCat"/>
      </c:valAx>
      <c:valAx>
        <c:axId val="44490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96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Sheet1!$Q$47:$Q$54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2000</c:v>
                </c:pt>
                <c:pt idx="7">
                  <c:v>4000</c:v>
                </c:pt>
              </c:numCache>
            </c:numRef>
          </c:xVal>
          <c:yVal>
            <c:numRef>
              <c:f>Sheet1!$R$47:$R$54</c:f>
              <c:numCache>
                <c:formatCode>General</c:formatCode>
                <c:ptCount val="8"/>
                <c:pt idx="0">
                  <c:v>666.6</c:v>
                </c:pt>
                <c:pt idx="1">
                  <c:v>743.6</c:v>
                </c:pt>
                <c:pt idx="2">
                  <c:v>996.8</c:v>
                </c:pt>
                <c:pt idx="3">
                  <c:v>894.2</c:v>
                </c:pt>
                <c:pt idx="4">
                  <c:v>1429.6</c:v>
                </c:pt>
                <c:pt idx="5">
                  <c:v>1547.2</c:v>
                </c:pt>
                <c:pt idx="6">
                  <c:v>1332.6</c:v>
                </c:pt>
                <c:pt idx="7">
                  <c:v>743.6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Sheet1!$Q$47:$Q$54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2000</c:v>
                </c:pt>
                <c:pt idx="7">
                  <c:v>4000</c:v>
                </c:pt>
              </c:numCache>
            </c:numRef>
          </c:xVal>
          <c:yVal>
            <c:numRef>
              <c:f>Sheet1!$T$47:$T$54</c:f>
              <c:numCache>
                <c:formatCode>General</c:formatCode>
                <c:ptCount val="8"/>
                <c:pt idx="0">
                  <c:v>3.6035719999999998</c:v>
                </c:pt>
                <c:pt idx="1">
                  <c:v>0.79352959999999995</c:v>
                </c:pt>
                <c:pt idx="2">
                  <c:v>2.7394925999999997</c:v>
                </c:pt>
                <c:pt idx="3">
                  <c:v>2.4284910000000002</c:v>
                </c:pt>
                <c:pt idx="4">
                  <c:v>1.5542058000000001</c:v>
                </c:pt>
                <c:pt idx="5">
                  <c:v>1.3924356</c:v>
                </c:pt>
                <c:pt idx="6">
                  <c:v>0.87485160000000006</c:v>
                </c:pt>
                <c:pt idx="7">
                  <c:v>0.79352959999999995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31392"/>
        <c:axId val="1236163824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valAx>
        <c:axId val="12361638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31392"/>
        <c:crosses val="max"/>
        <c:crossBetween val="midCat"/>
      </c:valAx>
      <c:valAx>
        <c:axId val="1235631392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6163824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Sheet1!$AK$6</c:f>
              <c:strCache>
                <c:ptCount val="1"/>
                <c:pt idx="0">
                  <c:v>Mean Intensity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Sheet1!$AI$7:$AI$14</c:f>
              <c:numCache>
                <c:formatCode>General</c:formatCode>
                <c:ptCount val="8"/>
                <c:pt idx="0">
                  <c:v>1.1500424000000002</c:v>
                </c:pt>
                <c:pt idx="1">
                  <c:v>1.4480998</c:v>
                </c:pt>
                <c:pt idx="2">
                  <c:v>1.1853256000000001</c:v>
                </c:pt>
                <c:pt idx="3">
                  <c:v>1.1975694000000001</c:v>
                </c:pt>
                <c:pt idx="4">
                  <c:v>1.2857556000000001</c:v>
                </c:pt>
                <c:pt idx="5">
                  <c:v>1.2971743999999998</c:v>
                </c:pt>
                <c:pt idx="6">
                  <c:v>1.4494696</c:v>
                </c:pt>
                <c:pt idx="7">
                  <c:v>1.4480998</c:v>
                </c:pt>
              </c:numCache>
            </c:numRef>
          </c:xVal>
          <c:yVal>
            <c:numRef>
              <c:f>Sheet1!$AK$7:$AK$14</c:f>
              <c:numCache>
                <c:formatCode>General</c:formatCode>
                <c:ptCount val="8"/>
                <c:pt idx="0">
                  <c:v>24564.784070600002</c:v>
                </c:pt>
                <c:pt idx="1">
                  <c:v>7662.4997297999998</c:v>
                </c:pt>
                <c:pt idx="2">
                  <c:v>18214.429055599998</c:v>
                </c:pt>
                <c:pt idx="3">
                  <c:v>15029.098575</c:v>
                </c:pt>
                <c:pt idx="4">
                  <c:v>13484.959201399999</c:v>
                </c:pt>
                <c:pt idx="5">
                  <c:v>11158.6988418</c:v>
                </c:pt>
                <c:pt idx="6">
                  <c:v>8346.0902201999997</c:v>
                </c:pt>
                <c:pt idx="7">
                  <c:v>7662.4997297999998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0C-7A42-8C59-423F10CA9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010400"/>
        <c:axId val="880983728"/>
      </c:scatterChart>
      <c:valAx>
        <c:axId val="86201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983728"/>
        <c:crosses val="autoZero"/>
        <c:crossBetween val="midCat"/>
      </c:valAx>
      <c:valAx>
        <c:axId val="88098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1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Sheet1!$AK$6</c:f>
              <c:strCache>
                <c:ptCount val="1"/>
                <c:pt idx="0">
                  <c:v>Mean Intensity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Sheet1!$AJ$7:$AJ$14</c:f>
              <c:numCache>
                <c:formatCode>General</c:formatCode>
                <c:ptCount val="8"/>
                <c:pt idx="0">
                  <c:v>0.83183540000000011</c:v>
                </c:pt>
                <c:pt idx="1">
                  <c:v>0.8546918</c:v>
                </c:pt>
                <c:pt idx="2">
                  <c:v>0.8599772</c:v>
                </c:pt>
                <c:pt idx="3">
                  <c:v>0.87721739999999992</c:v>
                </c:pt>
                <c:pt idx="4">
                  <c:v>0.82733199999999996</c:v>
                </c:pt>
                <c:pt idx="5">
                  <c:v>0.82012119999999999</c:v>
                </c:pt>
                <c:pt idx="6">
                  <c:v>0.81886080000000006</c:v>
                </c:pt>
                <c:pt idx="7">
                  <c:v>0.85460000000000003</c:v>
                </c:pt>
              </c:numCache>
            </c:numRef>
          </c:xVal>
          <c:yVal>
            <c:numRef>
              <c:f>Sheet1!$AK$7:$AK$14</c:f>
              <c:numCache>
                <c:formatCode>General</c:formatCode>
                <c:ptCount val="8"/>
                <c:pt idx="0">
                  <c:v>24564.784070600002</c:v>
                </c:pt>
                <c:pt idx="1">
                  <c:v>7662.4997297999998</c:v>
                </c:pt>
                <c:pt idx="2">
                  <c:v>18214.429055599998</c:v>
                </c:pt>
                <c:pt idx="3">
                  <c:v>15029.098575</c:v>
                </c:pt>
                <c:pt idx="4">
                  <c:v>13484.959201399999</c:v>
                </c:pt>
                <c:pt idx="5">
                  <c:v>11158.6988418</c:v>
                </c:pt>
                <c:pt idx="6">
                  <c:v>8346.0902201999997</c:v>
                </c:pt>
                <c:pt idx="7">
                  <c:v>7662.4997297999998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E0-5944-A1E6-4EAEC3576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015376"/>
        <c:axId val="1306605520"/>
      </c:scatterChart>
      <c:valAx>
        <c:axId val="86401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05520"/>
        <c:crosses val="autoZero"/>
        <c:crossBetween val="midCat"/>
      </c:valAx>
      <c:valAx>
        <c:axId val="130660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1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Sheet1!$AK$6</c:f>
              <c:strCache>
                <c:ptCount val="1"/>
                <c:pt idx="0">
                  <c:v>Mean Intensity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Sheet1!$AF$7:$AF$14</c:f>
              <c:numCache>
                <c:formatCode>General</c:formatCode>
                <c:ptCount val="8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2000</c:v>
                </c:pt>
                <c:pt idx="7">
                  <c:v>4000</c:v>
                </c:pt>
              </c:numCache>
            </c:numRef>
          </c:xVal>
          <c:yVal>
            <c:numRef>
              <c:f>Sheet1!$AK$7:$AK$14</c:f>
              <c:numCache>
                <c:formatCode>General</c:formatCode>
                <c:ptCount val="8"/>
                <c:pt idx="0">
                  <c:v>24564.784070600002</c:v>
                </c:pt>
                <c:pt idx="1">
                  <c:v>7662.4997297999998</c:v>
                </c:pt>
                <c:pt idx="2">
                  <c:v>18214.429055599998</c:v>
                </c:pt>
                <c:pt idx="3">
                  <c:v>15029.098575</c:v>
                </c:pt>
                <c:pt idx="4">
                  <c:v>13484.959201399999</c:v>
                </c:pt>
                <c:pt idx="5">
                  <c:v>11158.6988418</c:v>
                </c:pt>
                <c:pt idx="6">
                  <c:v>8346.0902201999997</c:v>
                </c:pt>
                <c:pt idx="7">
                  <c:v>7662.4997297999998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45-9540-9433-060DBF6AF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963216"/>
        <c:axId val="444908544"/>
      </c:scatterChart>
      <c:scatterChart>
        <c:scatterStyle val="lineMarker"/>
        <c:varyColors val="0"/>
        <c:ser>
          <c:idx val="1"/>
          <c:order val="1"/>
          <c:tx>
            <c:strRef>
              <c:f>Sheet1!$AH$6</c:f>
              <c:strCache>
                <c:ptCount val="1"/>
                <c:pt idx="0">
                  <c:v>Mean 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Sheet1!$AF$7:$AF$14</c:f>
              <c:numCache>
                <c:formatCode>General</c:formatCode>
                <c:ptCount val="8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2000</c:v>
                </c:pt>
                <c:pt idx="7">
                  <c:v>4000</c:v>
                </c:pt>
              </c:numCache>
            </c:numRef>
          </c:xVal>
          <c:yVal>
            <c:numRef>
              <c:f>Sheet1!$AH$7:$AH$14</c:f>
              <c:numCache>
                <c:formatCode>General</c:formatCode>
                <c:ptCount val="8"/>
                <c:pt idx="0">
                  <c:v>3.6035719999999998</c:v>
                </c:pt>
                <c:pt idx="1">
                  <c:v>0.79352959999999995</c:v>
                </c:pt>
                <c:pt idx="2">
                  <c:v>2.7394925999999997</c:v>
                </c:pt>
                <c:pt idx="3">
                  <c:v>2.4284910000000002</c:v>
                </c:pt>
                <c:pt idx="4">
                  <c:v>1.5542058000000001</c:v>
                </c:pt>
                <c:pt idx="5">
                  <c:v>1.3924356</c:v>
                </c:pt>
                <c:pt idx="6">
                  <c:v>0.87485160000000006</c:v>
                </c:pt>
                <c:pt idx="7">
                  <c:v>0.79352959999999995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C00-894F-8D8F-D548A7C91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399983"/>
        <c:axId val="1945578303"/>
      </c:scatterChart>
      <c:valAx>
        <c:axId val="4449632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444908544"/>
        <c:crosses val="autoZero"/>
        <c:crossBetween val="midCat"/>
      </c:valAx>
      <c:valAx>
        <c:axId val="44490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444963216"/>
        <c:crosses val="autoZero"/>
        <c:crossBetween val="midCat"/>
      </c:valAx>
      <c:valAx>
        <c:axId val="1945578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45399983"/>
        <c:crosses val="max"/>
        <c:crossBetween val="midCat"/>
      </c:valAx>
      <c:valAx>
        <c:axId val="1945399983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5578303"/>
        <c:crosses val="autoZero"/>
        <c:crossBetween val="midCat"/>
      </c:valAx>
      <c:spPr>
        <a:noFill/>
        <a:ln w="1270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59298530715745945"/>
          <c:y val="5.9702933632170489E-2"/>
          <c:w val="0.30643537303877372"/>
          <c:h val="0.1955566068281447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Mean Intensity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Sheet1!$AK$6</c:f>
              <c:strCache>
                <c:ptCount val="1"/>
                <c:pt idx="0">
                  <c:v>Mean Intensity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Sheet1!$AF$7:$AF$14</c:f>
              <c:numCache>
                <c:formatCode>General</c:formatCode>
                <c:ptCount val="8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2000</c:v>
                </c:pt>
                <c:pt idx="7">
                  <c:v>4000</c:v>
                </c:pt>
              </c:numCache>
            </c:numRef>
          </c:xVal>
          <c:yVal>
            <c:numRef>
              <c:f>Sheet1!$AK$7:$AK$14</c:f>
              <c:numCache>
                <c:formatCode>General</c:formatCode>
                <c:ptCount val="8"/>
                <c:pt idx="0">
                  <c:v>24564.784070600002</c:v>
                </c:pt>
                <c:pt idx="1">
                  <c:v>7662.4997297999998</c:v>
                </c:pt>
                <c:pt idx="2">
                  <c:v>18214.429055599998</c:v>
                </c:pt>
                <c:pt idx="3">
                  <c:v>15029.098575</c:v>
                </c:pt>
                <c:pt idx="4">
                  <c:v>13484.959201399999</c:v>
                </c:pt>
                <c:pt idx="5">
                  <c:v>11158.6988418</c:v>
                </c:pt>
                <c:pt idx="6">
                  <c:v>8346.0902201999997</c:v>
                </c:pt>
                <c:pt idx="7">
                  <c:v>7662.4997297999998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45-9540-9433-060DBF6AF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963216"/>
        <c:axId val="444908544"/>
      </c:scatterChart>
      <c:valAx>
        <c:axId val="4449632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444908544"/>
        <c:crosses val="autoZero"/>
        <c:crossBetween val="midCat"/>
      </c:valAx>
      <c:valAx>
        <c:axId val="44490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285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44496321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Sheet1!$BA$5</c:f>
              <c:strCache>
                <c:ptCount val="1"/>
                <c:pt idx="0">
                  <c:v>Mean Intensity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Sheet1!$AY$6:$AY$12</c:f>
              <c:numCache>
                <c:formatCode>General</c:formatCode>
                <c:ptCount val="7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2000</c:v>
                </c:pt>
                <c:pt idx="6">
                  <c:v>4000</c:v>
                </c:pt>
              </c:numCache>
            </c:numRef>
          </c:xVal>
          <c:yVal>
            <c:numRef>
              <c:f>Sheet1!$BA$6:$BA$12</c:f>
              <c:numCache>
                <c:formatCode>General</c:formatCode>
                <c:ptCount val="7"/>
                <c:pt idx="0">
                  <c:v>24564.784070600002</c:v>
                </c:pt>
                <c:pt idx="1">
                  <c:v>18214.429055599998</c:v>
                </c:pt>
                <c:pt idx="2">
                  <c:v>15029.098575</c:v>
                </c:pt>
                <c:pt idx="3">
                  <c:v>13484.959201399999</c:v>
                </c:pt>
                <c:pt idx="4">
                  <c:v>11158.6988418</c:v>
                </c:pt>
                <c:pt idx="5">
                  <c:v>8346.0902201999997</c:v>
                </c:pt>
                <c:pt idx="6">
                  <c:v>7662.4997297999998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scatterChart>
        <c:scatterStyle val="lineMarker"/>
        <c:varyColors val="0"/>
        <c:ser>
          <c:idx val="1"/>
          <c:order val="1"/>
          <c:tx>
            <c:strRef>
              <c:f>Sheet1!$AZ$5</c:f>
              <c:strCache>
                <c:ptCount val="1"/>
                <c:pt idx="0">
                  <c:v>Mean 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Sheet1!$AY$6:$AY$12</c:f>
              <c:numCache>
                <c:formatCode>General</c:formatCode>
                <c:ptCount val="7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2000</c:v>
                </c:pt>
                <c:pt idx="6">
                  <c:v>4000</c:v>
                </c:pt>
              </c:numCache>
            </c:numRef>
          </c:xVal>
          <c:yVal>
            <c:numRef>
              <c:f>Sheet1!$AZ$6:$AZ$12</c:f>
              <c:numCache>
                <c:formatCode>General</c:formatCode>
                <c:ptCount val="7"/>
                <c:pt idx="0">
                  <c:v>3.6035719999999998</c:v>
                </c:pt>
                <c:pt idx="1">
                  <c:v>2.7394925999999997</c:v>
                </c:pt>
                <c:pt idx="2">
                  <c:v>2.4284910000000002</c:v>
                </c:pt>
                <c:pt idx="3">
                  <c:v>1.5542058000000001</c:v>
                </c:pt>
                <c:pt idx="4">
                  <c:v>1.3924356</c:v>
                </c:pt>
                <c:pt idx="5">
                  <c:v>0.87485160000000006</c:v>
                </c:pt>
                <c:pt idx="6">
                  <c:v>0.79352959999999995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31392"/>
        <c:axId val="1236163824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valAx>
        <c:axId val="12361638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31392"/>
        <c:crosses val="max"/>
        <c:crossBetween val="midCat"/>
      </c:valAx>
      <c:valAx>
        <c:axId val="1235631392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6163824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Sheet1!$AZ$5</c:f>
              <c:strCache>
                <c:ptCount val="1"/>
                <c:pt idx="0">
                  <c:v>Mean 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Sheet1!$AY$6:$AY$12</c:f>
              <c:numCache>
                <c:formatCode>General</c:formatCode>
                <c:ptCount val="7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2000</c:v>
                </c:pt>
                <c:pt idx="6">
                  <c:v>4000</c:v>
                </c:pt>
              </c:numCache>
            </c:numRef>
          </c:xVal>
          <c:yVal>
            <c:numRef>
              <c:f>Sheet1!$AZ$6:$AZ$12</c:f>
              <c:numCache>
                <c:formatCode>General</c:formatCode>
                <c:ptCount val="7"/>
                <c:pt idx="0">
                  <c:v>3.6035719999999998</c:v>
                </c:pt>
                <c:pt idx="1">
                  <c:v>2.7394925999999997</c:v>
                </c:pt>
                <c:pt idx="2">
                  <c:v>2.4284910000000002</c:v>
                </c:pt>
                <c:pt idx="3">
                  <c:v>1.5542058000000001</c:v>
                </c:pt>
                <c:pt idx="4">
                  <c:v>1.3924356</c:v>
                </c:pt>
                <c:pt idx="5">
                  <c:v>0.87485160000000006</c:v>
                </c:pt>
                <c:pt idx="6">
                  <c:v>0.79352959999999995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scatterChart>
        <c:scatterStyle val="lineMarker"/>
        <c:varyColors val="0"/>
        <c:ser>
          <c:idx val="1"/>
          <c:order val="1"/>
          <c:tx>
            <c:strRef>
              <c:f>Sheet1!$BA$5</c:f>
              <c:strCache>
                <c:ptCount val="1"/>
                <c:pt idx="0">
                  <c:v>Mean Intensity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Sheet1!$AY$6:$AY$12</c:f>
              <c:numCache>
                <c:formatCode>General</c:formatCode>
                <c:ptCount val="7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2000</c:v>
                </c:pt>
                <c:pt idx="6">
                  <c:v>4000</c:v>
                </c:pt>
              </c:numCache>
            </c:numRef>
          </c:xVal>
          <c:yVal>
            <c:numRef>
              <c:f>Sheet1!$BA$6:$BA$12</c:f>
              <c:numCache>
                <c:formatCode>General</c:formatCode>
                <c:ptCount val="7"/>
                <c:pt idx="0">
                  <c:v>24564.784070600002</c:v>
                </c:pt>
                <c:pt idx="1">
                  <c:v>18214.429055599998</c:v>
                </c:pt>
                <c:pt idx="2">
                  <c:v>15029.098575</c:v>
                </c:pt>
                <c:pt idx="3">
                  <c:v>13484.959201399999</c:v>
                </c:pt>
                <c:pt idx="4">
                  <c:v>11158.6988418</c:v>
                </c:pt>
                <c:pt idx="5">
                  <c:v>8346.0902201999997</c:v>
                </c:pt>
                <c:pt idx="6">
                  <c:v>7662.4997297999998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31392"/>
        <c:axId val="1236163824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valAx>
        <c:axId val="12361638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31392"/>
        <c:crosses val="max"/>
        <c:crossBetween val="midCat"/>
      </c:valAx>
      <c:valAx>
        <c:axId val="1235631392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6163824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Mean Count</a:t>
            </a:r>
          </a:p>
        </c:rich>
      </c:tx>
      <c:layout>
        <c:manualLayout>
          <c:xMode val="edge"/>
          <c:yMode val="edge"/>
          <c:x val="0.4077544161991289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81503752082925"/>
          <c:y val="0.10504635451641946"/>
          <c:w val="0.78785846536197635"/>
          <c:h val="0.7588001732398951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Sheet3!$O$57</c:f>
              <c:strCache>
                <c:ptCount val="1"/>
                <c:pt idx="0">
                  <c:v>Mean Count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ysClr val="windowText" lastClr="0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Sheet3!$S$58:$S$66</c:f>
                <c:numCache>
                  <c:formatCode>General</c:formatCode>
                  <c:ptCount val="9"/>
                  <c:pt idx="0">
                    <c:v>158.29644482566383</c:v>
                  </c:pt>
                  <c:pt idx="1">
                    <c:v>159.86829301369031</c:v>
                  </c:pt>
                  <c:pt idx="2">
                    <c:v>210.76547260982866</c:v>
                  </c:pt>
                  <c:pt idx="3">
                    <c:v>245.32153051318855</c:v>
                  </c:pt>
                  <c:pt idx="4">
                    <c:v>291.79999999999995</c:v>
                  </c:pt>
                  <c:pt idx="5">
                    <c:v>165.09999999999931</c:v>
                  </c:pt>
                  <c:pt idx="6">
                    <c:v>161.09999999999988</c:v>
                  </c:pt>
                  <c:pt idx="7">
                    <c:v>148</c:v>
                  </c:pt>
                  <c:pt idx="8">
                    <c:v>16.45</c:v>
                  </c:pt>
                </c:numCache>
              </c:numRef>
            </c:plus>
            <c:minus>
              <c:numRef>
                <c:f>Sheet3!$S$58:$S$66</c:f>
                <c:numCache>
                  <c:formatCode>General</c:formatCode>
                  <c:ptCount val="9"/>
                  <c:pt idx="0">
                    <c:v>158.29644482566383</c:v>
                  </c:pt>
                  <c:pt idx="1">
                    <c:v>159.86829301369031</c:v>
                  </c:pt>
                  <c:pt idx="2">
                    <c:v>210.76547260982866</c:v>
                  </c:pt>
                  <c:pt idx="3">
                    <c:v>245.32153051318855</c:v>
                  </c:pt>
                  <c:pt idx="4">
                    <c:v>291.79999999999995</c:v>
                  </c:pt>
                  <c:pt idx="5">
                    <c:v>165.09999999999931</c:v>
                  </c:pt>
                  <c:pt idx="6">
                    <c:v>161.09999999999988</c:v>
                  </c:pt>
                  <c:pt idx="7">
                    <c:v>148</c:v>
                  </c:pt>
                  <c:pt idx="8">
                    <c:v>16.45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Sheet3!$N$58:$N$66</c:f>
              <c:numCache>
                <c:formatCode>General</c:formatCode>
                <c:ptCount val="9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4000</c:v>
                </c:pt>
              </c:numCache>
            </c:numRef>
          </c:xVal>
          <c:yVal>
            <c:numRef>
              <c:f>Sheet3!$O$58:$O$66</c:f>
              <c:numCache>
                <c:formatCode>General</c:formatCode>
                <c:ptCount val="9"/>
                <c:pt idx="0">
                  <c:v>519.53333333333342</c:v>
                </c:pt>
                <c:pt idx="1">
                  <c:v>543.26666666666665</c:v>
                </c:pt>
                <c:pt idx="2">
                  <c:v>601.5333333333333</c:v>
                </c:pt>
                <c:pt idx="3">
                  <c:v>503.8</c:v>
                </c:pt>
                <c:pt idx="4">
                  <c:v>1023</c:v>
                </c:pt>
                <c:pt idx="5">
                  <c:v>1353.9</c:v>
                </c:pt>
                <c:pt idx="6">
                  <c:v>1223.5</c:v>
                </c:pt>
                <c:pt idx="7">
                  <c:v>1162</c:v>
                </c:pt>
                <c:pt idx="8">
                  <c:v>719.05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[DDX6] (nM)</a:t>
                </a:r>
              </a:p>
            </c:rich>
          </c:tx>
          <c:layout>
            <c:manualLayout>
              <c:xMode val="edge"/>
              <c:yMode val="edge"/>
              <c:x val="0.4490268899958747"/>
              <c:y val="0.976395783959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ysClr val="windowText" lastClr="000000">
          <a:alpha val="0"/>
        </a:sys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Mean Area</a:t>
            </a:r>
          </a:p>
        </c:rich>
      </c:tx>
      <c:layout>
        <c:manualLayout>
          <c:xMode val="edge"/>
          <c:yMode val="edge"/>
          <c:x val="0.3873105701572615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77657480314961"/>
          <c:y val="8.1433323159405949E-2"/>
          <c:w val="0.8371887576552931"/>
          <c:h val="0.7902695545028205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Sheet3!$P$57</c:f>
              <c:strCache>
                <c:ptCount val="1"/>
                <c:pt idx="0">
                  <c:v>Mean 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ysClr val="windowText" lastClr="0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Sheet3!$T$58:$T$66</c:f>
                <c:numCache>
                  <c:formatCode>General</c:formatCode>
                  <c:ptCount val="9"/>
                  <c:pt idx="0">
                    <c:v>0.49198852322691411</c:v>
                  </c:pt>
                  <c:pt idx="1">
                    <c:v>0.7901193597289492</c:v>
                  </c:pt>
                  <c:pt idx="2">
                    <c:v>0.89442132693875576</c:v>
                  </c:pt>
                  <c:pt idx="3">
                    <c:v>0.92722419348569196</c:v>
                  </c:pt>
                  <c:pt idx="4">
                    <c:v>0.43654920505403172</c:v>
                  </c:pt>
                  <c:pt idx="5">
                    <c:v>0.31301433380522153</c:v>
                  </c:pt>
                  <c:pt idx="6">
                    <c:v>0.37174836215699264</c:v>
                  </c:pt>
                  <c:pt idx="7">
                    <c:v>0.53250102550662481</c:v>
                  </c:pt>
                  <c:pt idx="8">
                    <c:v>0.72701635320039493</c:v>
                  </c:pt>
                </c:numCache>
              </c:numRef>
            </c:plus>
            <c:minus>
              <c:numRef>
                <c:f>Sheet3!$T$58:$T$66</c:f>
                <c:numCache>
                  <c:formatCode>General</c:formatCode>
                  <c:ptCount val="9"/>
                  <c:pt idx="0">
                    <c:v>0.49198852322691411</c:v>
                  </c:pt>
                  <c:pt idx="1">
                    <c:v>0.7901193597289492</c:v>
                  </c:pt>
                  <c:pt idx="2">
                    <c:v>0.89442132693875576</c:v>
                  </c:pt>
                  <c:pt idx="3">
                    <c:v>0.92722419348569196</c:v>
                  </c:pt>
                  <c:pt idx="4">
                    <c:v>0.43654920505403172</c:v>
                  </c:pt>
                  <c:pt idx="5">
                    <c:v>0.31301433380522153</c:v>
                  </c:pt>
                  <c:pt idx="6">
                    <c:v>0.37174836215699264</c:v>
                  </c:pt>
                  <c:pt idx="7">
                    <c:v>0.53250102550662481</c:v>
                  </c:pt>
                  <c:pt idx="8">
                    <c:v>0.72701635320039493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Ref>
              <c:f>Sheet3!$N$58:$N$66</c:f>
              <c:numCache>
                <c:formatCode>General</c:formatCode>
                <c:ptCount val="9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4000</c:v>
                </c:pt>
              </c:numCache>
            </c:numRef>
          </c:xVal>
          <c:yVal>
            <c:numRef>
              <c:f>Sheet3!$P$58:$P$66</c:f>
              <c:numCache>
                <c:formatCode>General</c:formatCode>
                <c:ptCount val="9"/>
                <c:pt idx="0">
                  <c:v>3.0676030000000001</c:v>
                </c:pt>
                <c:pt idx="1">
                  <c:v>1.8575442666666666</c:v>
                </c:pt>
                <c:pt idx="2">
                  <c:v>2.3982703333333335</c:v>
                </c:pt>
                <c:pt idx="3">
                  <c:v>2.3587122666666667</c:v>
                </c:pt>
                <c:pt idx="4">
                  <c:v>2.2730259999999998</c:v>
                </c:pt>
                <c:pt idx="5">
                  <c:v>1.8167897</c:v>
                </c:pt>
                <c:pt idx="6">
                  <c:v>1.4324003000000003</c:v>
                </c:pt>
                <c:pt idx="7">
                  <c:v>1.4721119</c:v>
                </c:pt>
                <c:pt idx="8">
                  <c:v>1.6709300499999999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F-0E4F-A97D-389A2EDFD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[DDX6] (nM)</a:t>
                </a:r>
              </a:p>
            </c:rich>
          </c:tx>
          <c:layout>
            <c:manualLayout>
              <c:xMode val="edge"/>
              <c:yMode val="edge"/>
              <c:x val="0.4490268899958747"/>
              <c:y val="0.976395783959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ysClr val="windowText" lastClr="000000">
          <a:alpha val="0"/>
        </a:sys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Total Area</a:t>
            </a:r>
          </a:p>
        </c:rich>
      </c:tx>
      <c:layout>
        <c:manualLayout>
          <c:xMode val="edge"/>
          <c:yMode val="edge"/>
          <c:x val="0.3873105701572615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14839801837239"/>
          <c:y val="8.6707506462986639E-2"/>
          <c:w val="0.81115170756494981"/>
          <c:h val="0.7874705607970238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Sheet3!$Q$57</c:f>
              <c:strCache>
                <c:ptCount val="1"/>
                <c:pt idx="0">
                  <c:v>Mean total 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ysClr val="windowText" lastClr="0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Sheet3!$U$58:$U$66</c:f>
                <c:numCache>
                  <c:formatCode>General</c:formatCode>
                  <c:ptCount val="9"/>
                  <c:pt idx="0">
                    <c:v>662.93887716277447</c:v>
                  </c:pt>
                  <c:pt idx="1">
                    <c:v>618.45198152139085</c:v>
                  </c:pt>
                  <c:pt idx="2">
                    <c:v>733.38035202671949</c:v>
                  </c:pt>
                  <c:pt idx="3">
                    <c:v>714.69321258623302</c:v>
                  </c:pt>
                  <c:pt idx="4">
                    <c:v>110.61895000000003</c:v>
                  </c:pt>
                  <c:pt idx="5">
                    <c:v>203.56049999999982</c:v>
                  </c:pt>
                  <c:pt idx="6">
                    <c:v>321.61375999999927</c:v>
                  </c:pt>
                  <c:pt idx="7">
                    <c:v>533.44004999999981</c:v>
                  </c:pt>
                  <c:pt idx="8">
                    <c:v>603.70729249999999</c:v>
                  </c:pt>
                </c:numCache>
              </c:numRef>
            </c:plus>
            <c:minus>
              <c:numRef>
                <c:f>Sheet3!$U$58:$U$66</c:f>
                <c:numCache>
                  <c:formatCode>General</c:formatCode>
                  <c:ptCount val="9"/>
                  <c:pt idx="0">
                    <c:v>662.93887716277447</c:v>
                  </c:pt>
                  <c:pt idx="1">
                    <c:v>618.45198152139085</c:v>
                  </c:pt>
                  <c:pt idx="2">
                    <c:v>733.38035202671949</c:v>
                  </c:pt>
                  <c:pt idx="3">
                    <c:v>714.69321258623302</c:v>
                  </c:pt>
                  <c:pt idx="4">
                    <c:v>110.61895000000003</c:v>
                  </c:pt>
                  <c:pt idx="5">
                    <c:v>203.56049999999982</c:v>
                  </c:pt>
                  <c:pt idx="6">
                    <c:v>321.61375999999927</c:v>
                  </c:pt>
                  <c:pt idx="7">
                    <c:v>533.44004999999981</c:v>
                  </c:pt>
                  <c:pt idx="8">
                    <c:v>603.70729249999999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Ref>
              <c:f>Sheet3!$N$58:$N$66</c:f>
              <c:numCache>
                <c:formatCode>General</c:formatCode>
                <c:ptCount val="9"/>
                <c:pt idx="0">
                  <c:v>1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4000</c:v>
                </c:pt>
              </c:numCache>
            </c:numRef>
          </c:xVal>
          <c:yVal>
            <c:numRef>
              <c:f>Sheet3!$Q$58:$Q$66</c:f>
              <c:numCache>
                <c:formatCode>General</c:formatCode>
                <c:ptCount val="9"/>
                <c:pt idx="0">
                  <c:v>1749.7584000000004</c:v>
                </c:pt>
                <c:pt idx="1">
                  <c:v>1149.2247866666669</c:v>
                </c:pt>
                <c:pt idx="2">
                  <c:v>831.30928813333333</c:v>
                </c:pt>
                <c:pt idx="3">
                  <c:v>790.31403453333326</c:v>
                </c:pt>
                <c:pt idx="4">
                  <c:v>2093.4317299999998</c:v>
                </c:pt>
                <c:pt idx="5">
                  <c:v>2379.1853799999999</c:v>
                </c:pt>
                <c:pt idx="6">
                  <c:v>1690.82134</c:v>
                </c:pt>
                <c:pt idx="7">
                  <c:v>1607.5533500000001</c:v>
                </c:pt>
                <c:pt idx="8">
                  <c:v>1177.6946674999999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7-2E45-B406-2F86B23BC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7760"/>
        <c:axId val="1235512896"/>
      </c:scatterChart>
      <c:valAx>
        <c:axId val="1235587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800"/>
                  <a:t>[DDX6] (nM)</a:t>
                </a:r>
              </a:p>
            </c:rich>
          </c:tx>
          <c:layout>
            <c:manualLayout>
              <c:xMode val="edge"/>
              <c:yMode val="edge"/>
              <c:x val="0.4490268899958747"/>
              <c:y val="0.976395783959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12896"/>
        <c:crosses val="autoZero"/>
        <c:crossBetween val="midCat"/>
      </c:valAx>
      <c:valAx>
        <c:axId val="12355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Area</a:t>
                </a:r>
              </a:p>
            </c:rich>
          </c:tx>
          <c:layout>
            <c:manualLayout>
              <c:xMode val="edge"/>
              <c:yMode val="edge"/>
              <c:x val="5.7893218550863048E-4"/>
              <c:y val="0.454385401792126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35587760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ysClr val="windowText" lastClr="000000">
          <a:alpha val="0"/>
        </a:sys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Sheet3!$Q$2:$Q$6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xVal>
          <c:yVal>
            <c:numRef>
              <c:f>Sheet3!$R$2:$R$6</c:f>
              <c:numCache>
                <c:formatCode>General</c:formatCode>
                <c:ptCount val="5"/>
                <c:pt idx="0">
                  <c:v>203.2</c:v>
                </c:pt>
                <c:pt idx="1">
                  <c:v>221.6</c:v>
                </c:pt>
                <c:pt idx="2">
                  <c:v>231</c:v>
                </c:pt>
                <c:pt idx="3">
                  <c:v>225.4</c:v>
                </c:pt>
                <c:pt idx="4">
                  <c:v>71.400000000000006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E-F54A-9DF8-4066778FF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02992"/>
        <c:axId val="607887888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Sheet3!$Q$2:$Q$6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xVal>
          <c:yVal>
            <c:numRef>
              <c:f>Sheet3!$S$2:$S$6</c:f>
              <c:numCache>
                <c:formatCode>General</c:formatCode>
                <c:ptCount val="5"/>
                <c:pt idx="0">
                  <c:v>2.0849780000000004</c:v>
                </c:pt>
                <c:pt idx="1">
                  <c:v>1.4216342000000002</c:v>
                </c:pt>
                <c:pt idx="2">
                  <c:v>0.80271300000000001</c:v>
                </c:pt>
                <c:pt idx="3">
                  <c:v>0.88231579999999998</c:v>
                </c:pt>
                <c:pt idx="4">
                  <c:v>0.68161479999999997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AE-F54A-9DF8-4066778FF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386960"/>
        <c:axId val="611467280"/>
      </c:scatterChart>
      <c:valAx>
        <c:axId val="61180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887888"/>
        <c:crosses val="autoZero"/>
        <c:crossBetween val="midCat"/>
      </c:valAx>
      <c:valAx>
        <c:axId val="6078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2992"/>
        <c:crosses val="autoZero"/>
        <c:crossBetween val="midCat"/>
      </c:valAx>
      <c:valAx>
        <c:axId val="6114672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386960"/>
        <c:crosses val="max"/>
        <c:crossBetween val="midCat"/>
      </c:valAx>
      <c:valAx>
        <c:axId val="61138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146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Sheet3!$Q$2:$Q$6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xVal>
          <c:yVal>
            <c:numRef>
              <c:f>Sheet3!$T$2:$T$6</c:f>
              <c:numCache>
                <c:formatCode>General</c:formatCode>
                <c:ptCount val="5"/>
                <c:pt idx="0">
                  <c:v>423.92636000000005</c:v>
                </c:pt>
                <c:pt idx="1">
                  <c:v>315.39117999999996</c:v>
                </c:pt>
                <c:pt idx="2">
                  <c:v>185.42679999999999</c:v>
                </c:pt>
                <c:pt idx="3">
                  <c:v>197.10808</c:v>
                </c:pt>
                <c:pt idx="4">
                  <c:v>49.30068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C6-9A42-AE26-22720D4AB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02992"/>
        <c:axId val="607887888"/>
      </c:scatterChart>
      <c:valAx>
        <c:axId val="61180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887888"/>
        <c:crosses val="autoZero"/>
        <c:crossBetween val="midCat"/>
      </c:valAx>
      <c:valAx>
        <c:axId val="6078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46191</xdr:colOff>
      <xdr:row>21</xdr:row>
      <xdr:rowOff>164569</xdr:rowOff>
    </xdr:from>
    <xdr:to>
      <xdr:col>32</xdr:col>
      <xdr:colOff>773259</xdr:colOff>
      <xdr:row>42</xdr:row>
      <xdr:rowOff>5574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043134-08B7-A8DE-DF8F-F682D9518F9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39687</xdr:colOff>
      <xdr:row>41</xdr:row>
      <xdr:rowOff>197937</xdr:rowOff>
    </xdr:from>
    <xdr:to>
      <xdr:col>32</xdr:col>
      <xdr:colOff>766018</xdr:colOff>
      <xdr:row>62</xdr:row>
      <xdr:rowOff>38943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7AC326-C486-264C-9D74-CC8DDF9A03B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726429</xdr:colOff>
      <xdr:row>15</xdr:row>
      <xdr:rowOff>79375</xdr:rowOff>
    </xdr:from>
    <xdr:to>
      <xdr:col>43</xdr:col>
      <xdr:colOff>168275</xdr:colOff>
      <xdr:row>42</xdr:row>
      <xdr:rowOff>176336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C107F-6F49-F84E-AF1E-00E51D460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731206</xdr:colOff>
      <xdr:row>42</xdr:row>
      <xdr:rowOff>195262</xdr:rowOff>
    </xdr:from>
    <xdr:to>
      <xdr:col>43</xdr:col>
      <xdr:colOff>207962</xdr:colOff>
      <xdr:row>71</xdr:row>
      <xdr:rowOff>26261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069933-F2C7-CC41-878F-D1C6AFF76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494529</xdr:colOff>
      <xdr:row>17</xdr:row>
      <xdr:rowOff>42719</xdr:rowOff>
    </xdr:from>
    <xdr:to>
      <xdr:col>6</xdr:col>
      <xdr:colOff>101984</xdr:colOff>
      <xdr:row>30</xdr:row>
      <xdr:rowOff>34252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63BA32-9644-79BF-D05A-C8E1C66FE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173182</xdr:colOff>
      <xdr:row>17</xdr:row>
      <xdr:rowOff>19242</xdr:rowOff>
    </xdr:from>
    <xdr:to>
      <xdr:col>11</xdr:col>
      <xdr:colOff>608060</xdr:colOff>
      <xdr:row>30</xdr:row>
      <xdr:rowOff>10775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EA18B9-CFA3-DC4E-9E02-7D73B9459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635000</xdr:colOff>
      <xdr:row>17</xdr:row>
      <xdr:rowOff>38485</xdr:rowOff>
    </xdr:from>
    <xdr:to>
      <xdr:col>17</xdr:col>
      <xdr:colOff>242455</xdr:colOff>
      <xdr:row>30</xdr:row>
      <xdr:rowOff>30018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8D0B17-16E8-7841-B22C-02320A638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203823</xdr:colOff>
      <xdr:row>54</xdr:row>
      <xdr:rowOff>156309</xdr:rowOff>
    </xdr:from>
    <xdr:to>
      <xdr:col>45</xdr:col>
      <xdr:colOff>203824</xdr:colOff>
      <xdr:row>84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1B9BE5-85BF-5074-B102-6164D4DB7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787171</xdr:colOff>
      <xdr:row>22</xdr:row>
      <xdr:rowOff>74288</xdr:rowOff>
    </xdr:from>
    <xdr:to>
      <xdr:col>48</xdr:col>
      <xdr:colOff>634499</xdr:colOff>
      <xdr:row>36</xdr:row>
      <xdr:rowOff>197323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6686ED-9D48-E194-9DF7-23655ED09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514272</xdr:colOff>
      <xdr:row>21</xdr:row>
      <xdr:rowOff>31673</xdr:rowOff>
    </xdr:from>
    <xdr:to>
      <xdr:col>34</xdr:col>
      <xdr:colOff>90938</xdr:colOff>
      <xdr:row>35</xdr:row>
      <xdr:rowOff>9094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AC22C7-47FE-4011-F992-3A4679AA8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583261</xdr:colOff>
      <xdr:row>22</xdr:row>
      <xdr:rowOff>86547</xdr:rowOff>
    </xdr:from>
    <xdr:to>
      <xdr:col>41</xdr:col>
      <xdr:colOff>141112</xdr:colOff>
      <xdr:row>35</xdr:row>
      <xdr:rowOff>15679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1EA3DA-A073-274F-9029-0D543645E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73693</xdr:colOff>
      <xdr:row>4</xdr:row>
      <xdr:rowOff>94073</xdr:rowOff>
    </xdr:from>
    <xdr:to>
      <xdr:col>45</xdr:col>
      <xdr:colOff>490755</xdr:colOff>
      <xdr:row>17</xdr:row>
      <xdr:rowOff>187520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D39C47-77DC-C6C7-869D-C66E8FE85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34493</xdr:colOff>
      <xdr:row>20</xdr:row>
      <xdr:rowOff>0</xdr:rowOff>
    </xdr:from>
    <xdr:to>
      <xdr:col>56</xdr:col>
      <xdr:colOff>15678</xdr:colOff>
      <xdr:row>37</xdr:row>
      <xdr:rowOff>188149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3B0369-21C7-CF0F-0700-2AF4BC0AE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465667</xdr:colOff>
      <xdr:row>15</xdr:row>
      <xdr:rowOff>63030</xdr:rowOff>
    </xdr:from>
    <xdr:to>
      <xdr:col>55</xdr:col>
      <xdr:colOff>51741</xdr:colOff>
      <xdr:row>28</xdr:row>
      <xdr:rowOff>156477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217CF5-A248-C033-4B9A-A8D1D7E19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327497</xdr:colOff>
      <xdr:row>70</xdr:row>
      <xdr:rowOff>15379</xdr:rowOff>
    </xdr:from>
    <xdr:to>
      <xdr:col>9</xdr:col>
      <xdr:colOff>0</xdr:colOff>
      <xdr:row>94</xdr:row>
      <xdr:rowOff>81936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3BFA7-D124-B172-D35E-8E247A284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271600</xdr:colOff>
      <xdr:row>70</xdr:row>
      <xdr:rowOff>50219</xdr:rowOff>
    </xdr:from>
    <xdr:to>
      <xdr:col>16</xdr:col>
      <xdr:colOff>388276</xdr:colOff>
      <xdr:row>93</xdr:row>
      <xdr:rowOff>142442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B7418A-B2E4-80AC-E0AC-5A83A2498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454241</xdr:colOff>
      <xdr:row>71</xdr:row>
      <xdr:rowOff>90081</xdr:rowOff>
    </xdr:from>
    <xdr:to>
      <xdr:col>24</xdr:col>
      <xdr:colOff>765911</xdr:colOff>
      <xdr:row>95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7B2DB3-888C-A34C-A46E-A073DFC45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224465</xdr:colOff>
      <xdr:row>21</xdr:row>
      <xdr:rowOff>164214</xdr:rowOff>
    </xdr:from>
    <xdr:to>
      <xdr:col>32</xdr:col>
      <xdr:colOff>661581</xdr:colOff>
      <xdr:row>35</xdr:row>
      <xdr:rowOff>12995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CBD2D9-5B09-630D-DC8E-48310CEAB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383953</xdr:colOff>
      <xdr:row>49</xdr:row>
      <xdr:rowOff>88604</xdr:rowOff>
    </xdr:from>
    <xdr:to>
      <xdr:col>34</xdr:col>
      <xdr:colOff>821070</xdr:colOff>
      <xdr:row>62</xdr:row>
      <xdr:rowOff>144129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E98EC9-601A-9149-83E0-67179876E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7618-B410-284B-9F2F-2F7EE7F15E5E}">
  <dimension ref="A1:S89"/>
  <sheetViews>
    <sheetView topLeftCell="E12" zoomScale="50" workbookViewId="0">
      <selection activeCell="F44" sqref="F44"/>
    </sheetView>
  </sheetViews>
  <sheetFormatPr baseColWidth="10" defaultRowHeight="16" x14ac:dyDescent="0.2"/>
  <cols>
    <col min="1" max="6" width="10.83203125" style="1"/>
    <col min="9" max="16384" width="10.83203125" style="1"/>
  </cols>
  <sheetData>
    <row r="1" spans="1:19" x14ac:dyDescent="0.2">
      <c r="A1" s="1" t="s">
        <v>54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5</v>
      </c>
      <c r="G1" s="1" t="s">
        <v>63</v>
      </c>
      <c r="P1"/>
      <c r="Q1"/>
      <c r="S1"/>
    </row>
    <row r="2" spans="1:19" x14ac:dyDescent="0.2">
      <c r="A2" s="1">
        <v>1</v>
      </c>
      <c r="B2">
        <v>677.7</v>
      </c>
      <c r="C2">
        <v>3.5589154999999999</v>
      </c>
      <c r="D2">
        <v>2412.6744199999994</v>
      </c>
      <c r="E2">
        <v>9.1470092258496045</v>
      </c>
      <c r="F2">
        <v>4.3002348219409285E-2</v>
      </c>
      <c r="G2">
        <v>48.400728294136712</v>
      </c>
      <c r="P2" s="2"/>
      <c r="Q2"/>
      <c r="R2"/>
      <c r="S2"/>
    </row>
    <row r="3" spans="1:19" x14ac:dyDescent="0.2">
      <c r="A3">
        <v>25</v>
      </c>
      <c r="B3">
        <v>697.6</v>
      </c>
      <c r="C3">
        <v>2.0734757999999998</v>
      </c>
      <c r="D3">
        <v>1388.3671099999997</v>
      </c>
      <c r="E3">
        <v>17.575993728821011</v>
      </c>
      <c r="F3">
        <v>0.42720106618925924</v>
      </c>
      <c r="G3">
        <v>267.99078130056324</v>
      </c>
      <c r="P3"/>
      <c r="Q3"/>
      <c r="R3"/>
      <c r="S3"/>
    </row>
    <row r="4" spans="1:19" x14ac:dyDescent="0.2">
      <c r="A4">
        <v>50</v>
      </c>
      <c r="B4">
        <v>809.9</v>
      </c>
      <c r="C4">
        <v>3.4606686</v>
      </c>
      <c r="D4">
        <v>2666.5563599999996</v>
      </c>
      <c r="E4">
        <v>62.638903424487133</v>
      </c>
      <c r="F4">
        <v>0.2435588227147244</v>
      </c>
      <c r="G4">
        <v>34.809217099067943</v>
      </c>
      <c r="P4"/>
      <c r="Q4"/>
      <c r="R4"/>
      <c r="S4"/>
    </row>
    <row r="5" spans="1:19" x14ac:dyDescent="0.2">
      <c r="A5">
        <v>100</v>
      </c>
      <c r="B5">
        <v>684.3</v>
      </c>
      <c r="C5">
        <v>3.0763344999999997</v>
      </c>
      <c r="D5">
        <v>1978.7753700000001</v>
      </c>
      <c r="E5">
        <v>73.688993599979185</v>
      </c>
      <c r="F5">
        <v>0.22215881265733423</v>
      </c>
      <c r="G5">
        <v>127.52085923937572</v>
      </c>
      <c r="P5"/>
      <c r="Q5"/>
      <c r="R5"/>
      <c r="S5"/>
    </row>
    <row r="6" spans="1:19" x14ac:dyDescent="0.2">
      <c r="A6">
        <v>250</v>
      </c>
      <c r="B6">
        <v>1132.2</v>
      </c>
      <c r="C6">
        <v>2.0850245999999997</v>
      </c>
      <c r="D6">
        <v>2202.7781100000002</v>
      </c>
      <c r="E6">
        <v>100.14498378739582</v>
      </c>
      <c r="F6">
        <v>0.17740978397485446</v>
      </c>
      <c r="G6">
        <v>38.109846363072478</v>
      </c>
      <c r="P6"/>
      <c r="Q6"/>
      <c r="R6"/>
      <c r="S6"/>
    </row>
    <row r="7" spans="1:19" x14ac:dyDescent="0.2">
      <c r="A7">
        <v>500</v>
      </c>
      <c r="B7">
        <v>1397.2</v>
      </c>
      <c r="C7">
        <v>1.7466252</v>
      </c>
      <c r="D7">
        <v>2386.3780200000001</v>
      </c>
      <c r="E7">
        <v>51.756867499234822</v>
      </c>
      <c r="F7">
        <v>0.1191460463866649</v>
      </c>
      <c r="G7">
        <v>81.900478776953307</v>
      </c>
      <c r="I7" s="1">
        <f xml:space="preserve"> 1-C5/C2</f>
        <v>0.13559776847750393</v>
      </c>
      <c r="M7" s="1">
        <f xml:space="preserve"> D8/D2</f>
        <v>0.63987635347831162</v>
      </c>
      <c r="P7"/>
      <c r="Q7"/>
      <c r="R7"/>
      <c r="S7"/>
    </row>
    <row r="8" spans="1:19" x14ac:dyDescent="0.2">
      <c r="A8">
        <v>1000</v>
      </c>
      <c r="B8">
        <v>1194.8</v>
      </c>
      <c r="C8">
        <v>1.3468370999999999</v>
      </c>
      <c r="D8">
        <v>1543.81331</v>
      </c>
      <c r="E8">
        <v>48.165640127469338</v>
      </c>
      <c r="F8">
        <v>0.15772555096393445</v>
      </c>
      <c r="G8">
        <v>127.8174837994478</v>
      </c>
      <c r="P8"/>
      <c r="Q8"/>
      <c r="R8"/>
      <c r="S8"/>
    </row>
    <row r="9" spans="1:19" x14ac:dyDescent="0.2">
      <c r="A9">
        <v>2000</v>
      </c>
      <c r="B9">
        <v>959.6</v>
      </c>
      <c r="C9">
        <v>2.2039453999999998</v>
      </c>
      <c r="D9">
        <v>2114.73756</v>
      </c>
      <c r="E9">
        <v>25.144780770569465</v>
      </c>
      <c r="F9">
        <v>1.1677904976064874E-2</v>
      </c>
      <c r="G9">
        <v>39.182117629982699</v>
      </c>
      <c r="P9"/>
      <c r="R9"/>
      <c r="S9"/>
    </row>
    <row r="10" spans="1:19" x14ac:dyDescent="0.2">
      <c r="A10">
        <v>4000</v>
      </c>
      <c r="B10">
        <v>697.8</v>
      </c>
      <c r="C10">
        <v>1.7098479000000002</v>
      </c>
      <c r="D10">
        <v>1151.34292</v>
      </c>
      <c r="E10">
        <v>17.146298596360541</v>
      </c>
      <c r="F10">
        <v>0.30620583814328567</v>
      </c>
      <c r="G10">
        <v>188.21064247010338</v>
      </c>
      <c r="P10"/>
      <c r="Q10"/>
      <c r="R10"/>
      <c r="S10"/>
    </row>
    <row r="11" spans="1:19" x14ac:dyDescent="0.2">
      <c r="I11" s="1">
        <f xml:space="preserve"> 38/14</f>
        <v>2.7142857142857144</v>
      </c>
    </row>
    <row r="21" spans="1:6" x14ac:dyDescent="0.2">
      <c r="A21"/>
      <c r="B21"/>
      <c r="C21"/>
      <c r="D21"/>
      <c r="E21"/>
      <c r="F21"/>
    </row>
    <row r="22" spans="1:6" x14ac:dyDescent="0.2">
      <c r="A22"/>
      <c r="B22"/>
      <c r="C22"/>
      <c r="D22"/>
      <c r="E22"/>
      <c r="F22"/>
    </row>
    <row r="23" spans="1:6" x14ac:dyDescent="0.2">
      <c r="A23"/>
      <c r="B23"/>
      <c r="C23"/>
      <c r="D23"/>
      <c r="E23"/>
      <c r="F23"/>
    </row>
    <row r="24" spans="1:6" x14ac:dyDescent="0.2">
      <c r="A24"/>
      <c r="B24"/>
      <c r="C24"/>
      <c r="D24"/>
      <c r="E24"/>
      <c r="F24"/>
    </row>
    <row r="25" spans="1:6" x14ac:dyDescent="0.2">
      <c r="A25"/>
      <c r="B25"/>
      <c r="C25"/>
      <c r="D25"/>
      <c r="E25"/>
      <c r="F25"/>
    </row>
    <row r="26" spans="1:6" x14ac:dyDescent="0.2">
      <c r="A26"/>
      <c r="B26"/>
      <c r="C26"/>
      <c r="D26"/>
      <c r="E26"/>
      <c r="F26"/>
    </row>
    <row r="27" spans="1:6" x14ac:dyDescent="0.2">
      <c r="A27"/>
      <c r="B27"/>
      <c r="C27"/>
      <c r="D27"/>
      <c r="E27"/>
      <c r="F27"/>
    </row>
    <row r="28" spans="1:6" x14ac:dyDescent="0.2">
      <c r="A28"/>
      <c r="B28"/>
      <c r="C28"/>
      <c r="D28"/>
      <c r="E28"/>
      <c r="F28"/>
    </row>
    <row r="29" spans="1:6" x14ac:dyDescent="0.2">
      <c r="A29"/>
      <c r="B29"/>
      <c r="C29"/>
      <c r="D29"/>
      <c r="E29"/>
      <c r="F29"/>
    </row>
    <row r="30" spans="1:6" x14ac:dyDescent="0.2">
      <c r="A30"/>
      <c r="B30"/>
      <c r="C30"/>
      <c r="D30"/>
      <c r="E30"/>
      <c r="F30"/>
    </row>
    <row r="31" spans="1:6" x14ac:dyDescent="0.2">
      <c r="A31"/>
      <c r="B31"/>
      <c r="C31"/>
      <c r="D31"/>
      <c r="E31"/>
      <c r="F31"/>
    </row>
    <row r="32" spans="1:6" x14ac:dyDescent="0.2">
      <c r="A32"/>
      <c r="B32"/>
      <c r="C32"/>
      <c r="D32"/>
      <c r="E32"/>
      <c r="F32"/>
    </row>
    <row r="33" spans="1:17" x14ac:dyDescent="0.2">
      <c r="A33"/>
      <c r="B33"/>
      <c r="C33"/>
      <c r="D33"/>
      <c r="E33"/>
      <c r="F33"/>
    </row>
    <row r="34" spans="1:17" x14ac:dyDescent="0.2">
      <c r="A34"/>
      <c r="B34"/>
      <c r="C34"/>
      <c r="D34"/>
      <c r="E34"/>
      <c r="F34"/>
    </row>
    <row r="35" spans="1:17" x14ac:dyDescent="0.2">
      <c r="A35"/>
      <c r="B35"/>
      <c r="C35"/>
      <c r="D35"/>
      <c r="E35"/>
      <c r="F35"/>
    </row>
    <row r="36" spans="1:17" x14ac:dyDescent="0.2">
      <c r="A36"/>
      <c r="B36"/>
      <c r="C36"/>
      <c r="D36"/>
      <c r="E36"/>
      <c r="F36"/>
    </row>
    <row r="37" spans="1:17" x14ac:dyDescent="0.2">
      <c r="A37"/>
      <c r="B37"/>
      <c r="C37"/>
      <c r="D37"/>
      <c r="E37"/>
      <c r="F37"/>
    </row>
    <row r="38" spans="1:17" x14ac:dyDescent="0.2">
      <c r="A38"/>
      <c r="B38"/>
      <c r="C38"/>
      <c r="D38"/>
      <c r="E38"/>
      <c r="F38"/>
    </row>
    <row r="39" spans="1:17" x14ac:dyDescent="0.2">
      <c r="A39"/>
      <c r="B39"/>
      <c r="C39"/>
      <c r="D39"/>
      <c r="E39"/>
      <c r="F39"/>
    </row>
    <row r="40" spans="1:17" x14ac:dyDescent="0.2">
      <c r="A40"/>
      <c r="B40"/>
      <c r="C40"/>
      <c r="D40"/>
      <c r="E40"/>
      <c r="F40"/>
    </row>
    <row r="41" spans="1:17" x14ac:dyDescent="0.2">
      <c r="A41"/>
      <c r="B41"/>
      <c r="C41"/>
      <c r="D41"/>
      <c r="E41"/>
      <c r="F41"/>
    </row>
    <row r="42" spans="1:17" x14ac:dyDescent="0.2">
      <c r="A42"/>
      <c r="B42"/>
      <c r="C42"/>
      <c r="D42"/>
      <c r="E42"/>
      <c r="F42"/>
    </row>
    <row r="43" spans="1:17" x14ac:dyDescent="0.2">
      <c r="A43"/>
      <c r="B43"/>
      <c r="C43"/>
      <c r="D43"/>
      <c r="E43"/>
      <c r="F43"/>
    </row>
    <row r="44" spans="1:17" x14ac:dyDescent="0.2">
      <c r="A44" t="s">
        <v>54</v>
      </c>
      <c r="B44" t="s">
        <v>51</v>
      </c>
      <c r="C44" t="s">
        <v>53</v>
      </c>
      <c r="D44" t="s">
        <v>58</v>
      </c>
      <c r="E44" t="s">
        <v>52</v>
      </c>
      <c r="F44" t="s">
        <v>56</v>
      </c>
      <c r="G44" t="s">
        <v>57</v>
      </c>
      <c r="I44"/>
      <c r="J44"/>
      <c r="K44"/>
      <c r="L44"/>
      <c r="M44"/>
      <c r="N44"/>
    </row>
    <row r="45" spans="1:17" x14ac:dyDescent="0.2">
      <c r="A45">
        <v>0</v>
      </c>
      <c r="B45">
        <v>658</v>
      </c>
      <c r="C45">
        <v>674</v>
      </c>
      <c r="D45">
        <v>3.413081</v>
      </c>
      <c r="E45">
        <v>3.319922</v>
      </c>
      <c r="F45">
        <v>2237.6275999999998</v>
      </c>
      <c r="G45">
        <v>2245.8072000000002</v>
      </c>
      <c r="H45">
        <f xml:space="preserve"> AVERAGE(AVERAGE(B45:B49), AVERAGE(C45:C49))</f>
        <v>677.7</v>
      </c>
      <c r="I45">
        <f xml:space="preserve"> AVERAGE(D45:E49)</f>
        <v>3.5589154999999999</v>
      </c>
      <c r="J45">
        <f xml:space="preserve"> AVERAGE(F45:G49)</f>
        <v>2412.6744199999994</v>
      </c>
      <c r="K45">
        <f>(STDEV(B45:C49)/SQRT(10))</f>
        <v>9.1470092258496045</v>
      </c>
      <c r="L45">
        <f>(STDEV(D45:E49)/SQRT(10))</f>
        <v>4.3002348219409285E-2</v>
      </c>
      <c r="M45">
        <f>(STDEV(F45:G49)/SQRT(10))</f>
        <v>48.400728294136712</v>
      </c>
      <c r="N45"/>
    </row>
    <row r="46" spans="1:17" x14ac:dyDescent="0.2">
      <c r="A46">
        <v>0</v>
      </c>
      <c r="B46">
        <v>660</v>
      </c>
      <c r="C46">
        <v>620</v>
      </c>
      <c r="D46">
        <v>3.4868540000000001</v>
      </c>
      <c r="E46">
        <v>3.5681620000000001</v>
      </c>
      <c r="F46">
        <v>2212.2606999999998</v>
      </c>
      <c r="G46">
        <v>2301.3236999999999</v>
      </c>
      <c r="I46"/>
      <c r="J46"/>
      <c r="K46"/>
      <c r="L46"/>
      <c r="M46"/>
      <c r="N46"/>
    </row>
    <row r="47" spans="1:17" x14ac:dyDescent="0.2">
      <c r="A47">
        <v>0</v>
      </c>
      <c r="B47">
        <v>695</v>
      </c>
      <c r="C47">
        <v>672</v>
      </c>
      <c r="D47">
        <v>3.4932660000000002</v>
      </c>
      <c r="E47">
        <v>3.6482619999999999</v>
      </c>
      <c r="F47">
        <v>2451.6323000000002</v>
      </c>
      <c r="G47">
        <v>2427.8202000000001</v>
      </c>
      <c r="I47"/>
      <c r="J47"/>
      <c r="K47"/>
      <c r="L47"/>
      <c r="M47"/>
      <c r="N47"/>
    </row>
    <row r="48" spans="1:17" x14ac:dyDescent="0.2">
      <c r="A48">
        <v>0</v>
      </c>
      <c r="B48">
        <v>709</v>
      </c>
      <c r="C48">
        <v>692</v>
      </c>
      <c r="D48">
        <v>3.5760299999999998</v>
      </c>
      <c r="E48">
        <v>3.7738040000000002</v>
      </c>
      <c r="F48">
        <v>2611.4724999999999</v>
      </c>
      <c r="G48">
        <v>2535.4056</v>
      </c>
      <c r="I48"/>
      <c r="J48"/>
      <c r="K48"/>
      <c r="L48"/>
      <c r="M48"/>
      <c r="N48"/>
      <c r="O48"/>
      <c r="P48"/>
      <c r="Q48"/>
    </row>
    <row r="49" spans="1:17" x14ac:dyDescent="0.2">
      <c r="A49">
        <v>0</v>
      </c>
      <c r="B49">
        <v>722</v>
      </c>
      <c r="C49">
        <v>675</v>
      </c>
      <c r="D49">
        <v>3.6020639999999999</v>
      </c>
      <c r="E49">
        <v>3.7077100000000001</v>
      </c>
      <c r="F49">
        <v>2502.7040999999999</v>
      </c>
      <c r="G49">
        <v>2600.6903000000002</v>
      </c>
      <c r="I49"/>
      <c r="J49"/>
      <c r="K49"/>
      <c r="L49"/>
      <c r="M49"/>
      <c r="N49"/>
      <c r="O49"/>
      <c r="P49"/>
      <c r="Q49"/>
    </row>
    <row r="50" spans="1:17" x14ac:dyDescent="0.2">
      <c r="A50">
        <v>25</v>
      </c>
      <c r="B50">
        <v>686</v>
      </c>
      <c r="C50">
        <v>737</v>
      </c>
      <c r="D50">
        <v>3.4752160000000001</v>
      </c>
      <c r="E50">
        <v>0.80134000000000005</v>
      </c>
      <c r="F50">
        <v>590.5874</v>
      </c>
      <c r="G50">
        <v>2383.9985000000001</v>
      </c>
      <c r="H50">
        <f xml:space="preserve"> AVERAGE(AVERAGE(B50:B54), AVERAGE(C50:C54))</f>
        <v>697.6</v>
      </c>
      <c r="I50">
        <f xml:space="preserve"> AVERAGE(D50:E54)</f>
        <v>2.0734757999999998</v>
      </c>
      <c r="J50">
        <f xml:space="preserve"> AVERAGE(F50:G54)</f>
        <v>1388.3671099999997</v>
      </c>
      <c r="K50">
        <f>(STDEV(B50:C54)/SQRT(10))</f>
        <v>17.575993728821011</v>
      </c>
      <c r="L50">
        <f>(STDEV(D50:E54)/SQRT(10))</f>
        <v>0.42720106618925924</v>
      </c>
      <c r="M50">
        <f>(STDEV(F50:G54)/SQRT(10))</f>
        <v>267.99078130056324</v>
      </c>
      <c r="N50"/>
      <c r="O50"/>
      <c r="P50"/>
      <c r="Q50"/>
    </row>
    <row r="51" spans="1:17" x14ac:dyDescent="0.2">
      <c r="A51">
        <v>25</v>
      </c>
      <c r="B51">
        <v>672</v>
      </c>
      <c r="C51">
        <v>706</v>
      </c>
      <c r="D51">
        <v>3.4006219999999998</v>
      </c>
      <c r="E51">
        <v>0.79444400000000004</v>
      </c>
      <c r="F51">
        <v>560.87720000000002</v>
      </c>
      <c r="G51">
        <v>2285.2179999999998</v>
      </c>
      <c r="I51"/>
      <c r="J51"/>
      <c r="K51"/>
      <c r="L51"/>
      <c r="M51"/>
      <c r="N51"/>
      <c r="O51"/>
      <c r="P51"/>
      <c r="Q51"/>
    </row>
    <row r="52" spans="1:17" x14ac:dyDescent="0.2">
      <c r="A52">
        <v>25</v>
      </c>
      <c r="B52">
        <v>652</v>
      </c>
      <c r="C52">
        <v>755</v>
      </c>
      <c r="D52">
        <v>3.3070349999999999</v>
      </c>
      <c r="E52">
        <v>0.81081899999999996</v>
      </c>
      <c r="F52">
        <v>612.16869999999994</v>
      </c>
      <c r="G52">
        <v>2156.1864999999998</v>
      </c>
      <c r="I52"/>
      <c r="J52"/>
      <c r="K52"/>
      <c r="L52"/>
      <c r="M52"/>
      <c r="N52"/>
      <c r="O52"/>
      <c r="P52"/>
      <c r="Q52"/>
    </row>
    <row r="53" spans="1:17" x14ac:dyDescent="0.2">
      <c r="A53">
        <v>25</v>
      </c>
      <c r="B53">
        <v>645</v>
      </c>
      <c r="C53">
        <v>744</v>
      </c>
      <c r="D53">
        <v>3.2348699999999999</v>
      </c>
      <c r="E53">
        <v>0.71547899999999998</v>
      </c>
      <c r="F53">
        <v>532.31619999999998</v>
      </c>
      <c r="G53">
        <v>2086.4908999999998</v>
      </c>
      <c r="I53"/>
      <c r="J53"/>
      <c r="K53"/>
      <c r="L53"/>
      <c r="M53"/>
      <c r="N53"/>
      <c r="O53"/>
      <c r="P53"/>
      <c r="Q53"/>
    </row>
    <row r="54" spans="1:17" x14ac:dyDescent="0.2">
      <c r="A54">
        <v>25</v>
      </c>
      <c r="B54">
        <v>603</v>
      </c>
      <c r="C54">
        <v>776</v>
      </c>
      <c r="D54">
        <v>3.349367</v>
      </c>
      <c r="E54">
        <v>0.84556600000000004</v>
      </c>
      <c r="F54">
        <v>656.15940000000001</v>
      </c>
      <c r="G54">
        <v>2019.6683</v>
      </c>
      <c r="I54"/>
      <c r="J54"/>
      <c r="K54"/>
      <c r="L54"/>
      <c r="M54"/>
      <c r="N54"/>
      <c r="O54"/>
      <c r="P54"/>
      <c r="Q54"/>
    </row>
    <row r="55" spans="1:17" x14ac:dyDescent="0.2">
      <c r="A55">
        <v>50</v>
      </c>
      <c r="B55">
        <v>643</v>
      </c>
      <c r="C55">
        <v>984</v>
      </c>
      <c r="D55">
        <v>4.0596800000000002</v>
      </c>
      <c r="E55">
        <v>2.6469969999999998</v>
      </c>
      <c r="F55">
        <v>2604.6448999999998</v>
      </c>
      <c r="G55">
        <v>2610.3739999999998</v>
      </c>
      <c r="H55">
        <f xml:space="preserve"> AVERAGE(AVERAGE(B55:B59), AVERAGE(C55:C59))</f>
        <v>809.9</v>
      </c>
      <c r="I55">
        <f xml:space="preserve"> AVERAGE(D55:E59)</f>
        <v>3.4606685999999995</v>
      </c>
      <c r="J55">
        <f xml:space="preserve"> AVERAGE(F55:G59)</f>
        <v>2666.5563599999996</v>
      </c>
      <c r="K55">
        <f>(STDEV(B55:C59)/SQRT(10))</f>
        <v>62.638903424487133</v>
      </c>
      <c r="L55">
        <f>(STDEV(D55:E59)/SQRT(10))</f>
        <v>0.2435588227147244</v>
      </c>
      <c r="M55">
        <f>(STDEV(F55:G59)/SQRT(10))</f>
        <v>34.809217099067943</v>
      </c>
      <c r="N55"/>
      <c r="O55"/>
      <c r="P55"/>
      <c r="Q55"/>
    </row>
    <row r="56" spans="1:17" x14ac:dyDescent="0.2">
      <c r="A56">
        <v>50</v>
      </c>
      <c r="B56">
        <v>641</v>
      </c>
      <c r="C56">
        <v>998</v>
      </c>
      <c r="D56">
        <v>4.1060939999999997</v>
      </c>
      <c r="E56">
        <v>2.6492360000000001</v>
      </c>
      <c r="F56">
        <v>2643.9373999999998</v>
      </c>
      <c r="G56">
        <v>2632.0059999999999</v>
      </c>
      <c r="I56"/>
      <c r="J56"/>
      <c r="K56"/>
      <c r="L56"/>
      <c r="M56"/>
      <c r="N56"/>
      <c r="O56"/>
      <c r="P56"/>
      <c r="Q56"/>
    </row>
    <row r="57" spans="1:17" x14ac:dyDescent="0.2">
      <c r="A57">
        <v>50</v>
      </c>
      <c r="B57">
        <v>646</v>
      </c>
      <c r="C57">
        <v>996</v>
      </c>
      <c r="D57">
        <v>4.0549010000000001</v>
      </c>
      <c r="E57">
        <v>2.687592</v>
      </c>
      <c r="F57">
        <v>2676.8416999999999</v>
      </c>
      <c r="G57">
        <v>2619.4661999999998</v>
      </c>
      <c r="I57"/>
      <c r="J57"/>
      <c r="K57"/>
      <c r="L57"/>
      <c r="M57"/>
      <c r="N57"/>
    </row>
    <row r="58" spans="1:17" x14ac:dyDescent="0.2">
      <c r="A58">
        <v>50</v>
      </c>
      <c r="B58">
        <v>591</v>
      </c>
      <c r="C58">
        <v>1018</v>
      </c>
      <c r="D58">
        <v>4.3233119999999996</v>
      </c>
      <c r="E58">
        <v>2.839731</v>
      </c>
      <c r="F58">
        <v>2890.8463999999999</v>
      </c>
      <c r="G58">
        <v>2555.0772000000002</v>
      </c>
      <c r="I58"/>
      <c r="J58"/>
      <c r="K58"/>
      <c r="L58"/>
      <c r="M58"/>
      <c r="N58"/>
    </row>
    <row r="59" spans="1:17" x14ac:dyDescent="0.2">
      <c r="A59">
        <v>50</v>
      </c>
      <c r="B59">
        <v>594</v>
      </c>
      <c r="C59">
        <v>988</v>
      </c>
      <c r="D59">
        <v>4.3652360000000003</v>
      </c>
      <c r="E59">
        <v>2.873907</v>
      </c>
      <c r="F59">
        <v>2839.4196999999999</v>
      </c>
      <c r="G59">
        <v>2592.9501</v>
      </c>
      <c r="I59"/>
      <c r="J59"/>
      <c r="K59"/>
      <c r="L59"/>
      <c r="M59"/>
      <c r="N59"/>
    </row>
    <row r="60" spans="1:17" x14ac:dyDescent="0.2">
      <c r="A60">
        <v>100</v>
      </c>
      <c r="B60">
        <v>623</v>
      </c>
      <c r="C60">
        <v>887</v>
      </c>
      <c r="D60">
        <v>4.0479159999999998</v>
      </c>
      <c r="E60">
        <v>2.4452600000000002</v>
      </c>
      <c r="F60">
        <v>2168.9459999999999</v>
      </c>
      <c r="G60">
        <v>2521.8517999999999</v>
      </c>
      <c r="H60">
        <f xml:space="preserve"> AVERAGE(B60:C64)</f>
        <v>684.3</v>
      </c>
      <c r="I60">
        <f xml:space="preserve"> AVERAGE(D60:E64)</f>
        <v>3.0763344999999997</v>
      </c>
      <c r="J60">
        <f xml:space="preserve"> AVERAGE(F60:G64)</f>
        <v>1978.7753700000001</v>
      </c>
      <c r="K60">
        <f>(STDEV(B60:C64)/SQRT(10))</f>
        <v>73.688993599979185</v>
      </c>
      <c r="L60">
        <f>(STDEV(D60:E64)/SQRT(10))</f>
        <v>0.22215881265733423</v>
      </c>
      <c r="M60">
        <f>(STDEV(F60:G64)/SQRT(10))</f>
        <v>127.52085923937572</v>
      </c>
      <c r="N60"/>
    </row>
    <row r="61" spans="1:17" x14ac:dyDescent="0.2">
      <c r="A61">
        <v>100</v>
      </c>
      <c r="B61">
        <v>535</v>
      </c>
      <c r="C61">
        <v>902</v>
      </c>
      <c r="D61">
        <v>3.8951500000000001</v>
      </c>
      <c r="E61">
        <v>2.5014059999999998</v>
      </c>
      <c r="F61">
        <v>2256.2683000000002</v>
      </c>
      <c r="G61">
        <v>2083.9052000000001</v>
      </c>
      <c r="I61"/>
      <c r="J61"/>
      <c r="K61"/>
      <c r="L61"/>
      <c r="M61"/>
      <c r="N61"/>
    </row>
    <row r="62" spans="1:17" x14ac:dyDescent="0.2">
      <c r="A62">
        <v>100</v>
      </c>
      <c r="B62">
        <v>461</v>
      </c>
      <c r="C62">
        <v>930</v>
      </c>
      <c r="D62">
        <v>3.6143999999999998</v>
      </c>
      <c r="E62">
        <v>2.4324189999999999</v>
      </c>
      <c r="F62">
        <v>2262.1495</v>
      </c>
      <c r="G62">
        <v>1666.2385999999999</v>
      </c>
      <c r="I62"/>
      <c r="J62"/>
      <c r="K62"/>
      <c r="L62"/>
      <c r="M62"/>
      <c r="N62"/>
    </row>
    <row r="63" spans="1:17" x14ac:dyDescent="0.2">
      <c r="A63">
        <v>100</v>
      </c>
      <c r="B63">
        <v>383</v>
      </c>
      <c r="C63">
        <v>897</v>
      </c>
      <c r="D63">
        <v>3.4904899999999999</v>
      </c>
      <c r="E63">
        <v>2.3064260000000001</v>
      </c>
      <c r="F63">
        <v>2068.8642</v>
      </c>
      <c r="G63">
        <v>1336.8576</v>
      </c>
      <c r="I63"/>
      <c r="J63"/>
      <c r="K63"/>
      <c r="L63"/>
      <c r="M63"/>
      <c r="N63"/>
    </row>
    <row r="64" spans="1:17" x14ac:dyDescent="0.2">
      <c r="A64">
        <v>100</v>
      </c>
      <c r="B64">
        <v>370</v>
      </c>
      <c r="C64">
        <v>855</v>
      </c>
      <c r="D64">
        <v>3.5729340000000001</v>
      </c>
      <c r="E64">
        <v>2.456944</v>
      </c>
      <c r="F64">
        <v>2100.6869000000002</v>
      </c>
      <c r="G64">
        <v>1321.9856</v>
      </c>
      <c r="I64"/>
      <c r="J64"/>
      <c r="K64"/>
      <c r="L64"/>
      <c r="M64"/>
      <c r="N64"/>
    </row>
    <row r="65" spans="1:14" x14ac:dyDescent="0.2">
      <c r="A65">
        <v>250</v>
      </c>
      <c r="B65">
        <v>744</v>
      </c>
      <c r="C65">
        <v>1427</v>
      </c>
      <c r="D65">
        <v>2.6392389999999999</v>
      </c>
      <c r="E65">
        <v>1.51766</v>
      </c>
      <c r="F65">
        <v>2165.7012</v>
      </c>
      <c r="G65">
        <v>1963.5941</v>
      </c>
      <c r="H65">
        <f xml:space="preserve"> AVERAGE(B65:C69)</f>
        <v>1132.2</v>
      </c>
      <c r="I65">
        <f xml:space="preserve"> AVERAGE(D65:E69)</f>
        <v>2.0850245999999997</v>
      </c>
      <c r="J65">
        <f xml:space="preserve"> AVERAGE(F65:G69)</f>
        <v>2202.7781100000002</v>
      </c>
      <c r="K65">
        <f>(STDEV(B65:C69)/SQRT(10))</f>
        <v>100.14498378739582</v>
      </c>
      <c r="L65">
        <f>(STDEV(D65:E69)/SQRT(10))</f>
        <v>0.17740978397485446</v>
      </c>
      <c r="M65">
        <f>(STDEV(F65:G69)/SQRT(10))</f>
        <v>38.109846363072478</v>
      </c>
      <c r="N65"/>
    </row>
    <row r="66" spans="1:14" x14ac:dyDescent="0.2">
      <c r="A66">
        <v>250</v>
      </c>
      <c r="B66">
        <v>815</v>
      </c>
      <c r="C66">
        <v>1412</v>
      </c>
      <c r="D66">
        <v>2.6701169999999999</v>
      </c>
      <c r="E66">
        <v>1.5700480000000001</v>
      </c>
      <c r="F66">
        <v>2216.9081999999999</v>
      </c>
      <c r="G66">
        <v>2176.1453999999999</v>
      </c>
      <c r="I66"/>
      <c r="J66"/>
      <c r="K66"/>
      <c r="L66"/>
      <c r="M66"/>
      <c r="N66"/>
    </row>
    <row r="67" spans="1:14" x14ac:dyDescent="0.2">
      <c r="A67">
        <v>250</v>
      </c>
      <c r="B67">
        <v>852</v>
      </c>
      <c r="C67">
        <v>1394</v>
      </c>
      <c r="D67">
        <v>2.5778249999999998</v>
      </c>
      <c r="E67">
        <v>1.5189029999999999</v>
      </c>
      <c r="F67">
        <v>2117.3503000000001</v>
      </c>
      <c r="G67">
        <v>2196.3071</v>
      </c>
      <c r="I67"/>
      <c r="J67"/>
      <c r="K67"/>
      <c r="L67"/>
      <c r="M67"/>
      <c r="N67"/>
    </row>
    <row r="68" spans="1:14" x14ac:dyDescent="0.2">
      <c r="A68">
        <v>250</v>
      </c>
      <c r="B68">
        <v>875</v>
      </c>
      <c r="C68">
        <v>1486</v>
      </c>
      <c r="D68">
        <v>2.578322</v>
      </c>
      <c r="E68">
        <v>1.628268</v>
      </c>
      <c r="F68">
        <v>2419.6068</v>
      </c>
      <c r="G68">
        <v>2256.0317</v>
      </c>
      <c r="I68"/>
      <c r="J68"/>
      <c r="K68"/>
      <c r="L68"/>
      <c r="M68"/>
      <c r="N68"/>
    </row>
    <row r="69" spans="1:14" x14ac:dyDescent="0.2">
      <c r="A69">
        <v>250</v>
      </c>
      <c r="B69">
        <v>888</v>
      </c>
      <c r="C69">
        <v>1429</v>
      </c>
      <c r="D69">
        <v>2.6137139999999999</v>
      </c>
      <c r="E69">
        <v>1.5361499999999999</v>
      </c>
      <c r="F69">
        <v>2195.1579000000002</v>
      </c>
      <c r="G69">
        <v>2320.9784</v>
      </c>
      <c r="I69"/>
      <c r="J69"/>
      <c r="K69"/>
      <c r="L69"/>
      <c r="M69"/>
      <c r="N69"/>
    </row>
    <row r="70" spans="1:14" x14ac:dyDescent="0.2">
      <c r="A70">
        <v>500</v>
      </c>
      <c r="B70">
        <v>1326</v>
      </c>
      <c r="C70">
        <v>1549</v>
      </c>
      <c r="D70">
        <v>2.0330729999999999</v>
      </c>
      <c r="E70">
        <v>1.405689</v>
      </c>
      <c r="F70">
        <v>2177.4128999999998</v>
      </c>
      <c r="G70">
        <v>2695.8542000000002</v>
      </c>
      <c r="H70">
        <f xml:space="preserve"> AVERAGE(B70:C74)</f>
        <v>1397.2</v>
      </c>
      <c r="I70">
        <f xml:space="preserve"> AVERAGE(D70:E74)</f>
        <v>1.7466252</v>
      </c>
      <c r="J70">
        <f xml:space="preserve"> AVERAGE(F70:G74)</f>
        <v>2386.3780200000001</v>
      </c>
      <c r="K70">
        <f>(STDEV(B70:C74)/SQRT(10))</f>
        <v>51.756867499234822</v>
      </c>
      <c r="L70">
        <f>(STDEV(D70:E74)/SQRT(10))</f>
        <v>0.1191460463866649</v>
      </c>
      <c r="M70">
        <f>(STDEV(F70:G74)/SQRT(10))</f>
        <v>81.900478776953307</v>
      </c>
      <c r="N70"/>
    </row>
    <row r="71" spans="1:14" x14ac:dyDescent="0.2">
      <c r="A71">
        <v>500</v>
      </c>
      <c r="B71">
        <v>1286</v>
      </c>
      <c r="C71">
        <v>1525</v>
      </c>
      <c r="D71">
        <v>2.071577</v>
      </c>
      <c r="E71">
        <v>1.336784</v>
      </c>
      <c r="F71">
        <v>2038.5962999999999</v>
      </c>
      <c r="G71">
        <v>2664.0484000000001</v>
      </c>
      <c r="I71"/>
      <c r="J71"/>
      <c r="K71"/>
      <c r="L71"/>
      <c r="M71"/>
      <c r="N71"/>
    </row>
    <row r="72" spans="1:14" x14ac:dyDescent="0.2">
      <c r="A72">
        <v>500</v>
      </c>
      <c r="B72">
        <v>1238</v>
      </c>
      <c r="C72">
        <v>1569</v>
      </c>
      <c r="D72">
        <v>2.133632</v>
      </c>
      <c r="E72">
        <v>1.472896</v>
      </c>
      <c r="F72">
        <v>2310.9735999999998</v>
      </c>
      <c r="G72">
        <v>2641.4362000000001</v>
      </c>
      <c r="I72"/>
      <c r="J72"/>
      <c r="K72"/>
      <c r="L72"/>
      <c r="M72"/>
      <c r="N72"/>
    </row>
    <row r="73" spans="1:14" x14ac:dyDescent="0.2">
      <c r="A73">
        <v>500</v>
      </c>
      <c r="B73">
        <v>1206</v>
      </c>
      <c r="C73">
        <v>1523</v>
      </c>
      <c r="D73">
        <v>2.1487660000000002</v>
      </c>
      <c r="E73">
        <v>1.415616</v>
      </c>
      <c r="F73">
        <v>2155.9837000000002</v>
      </c>
      <c r="G73">
        <v>2591.4122000000002</v>
      </c>
      <c r="I73"/>
      <c r="J73"/>
      <c r="K73"/>
      <c r="L73"/>
      <c r="M73"/>
      <c r="N73"/>
    </row>
    <row r="74" spans="1:14" x14ac:dyDescent="0.2">
      <c r="A74">
        <v>500</v>
      </c>
      <c r="B74">
        <v>1180</v>
      </c>
      <c r="C74">
        <v>1570</v>
      </c>
      <c r="D74">
        <v>2.1170260000000001</v>
      </c>
      <c r="E74">
        <v>1.3311930000000001</v>
      </c>
      <c r="F74">
        <v>2089.9722999999999</v>
      </c>
      <c r="G74">
        <v>2498.0904</v>
      </c>
      <c r="I74"/>
      <c r="J74"/>
      <c r="K74"/>
      <c r="L74"/>
      <c r="M74"/>
      <c r="N74"/>
    </row>
    <row r="75" spans="1:14" x14ac:dyDescent="0.2">
      <c r="A75">
        <v>1000</v>
      </c>
      <c r="B75">
        <v>1028</v>
      </c>
      <c r="C75">
        <v>1342</v>
      </c>
      <c r="D75">
        <v>1.843021</v>
      </c>
      <c r="E75">
        <v>0.89464200000000005</v>
      </c>
      <c r="F75">
        <v>1200.6098</v>
      </c>
      <c r="G75">
        <v>1894.6251999999999</v>
      </c>
      <c r="H75">
        <f xml:space="preserve"> AVERAGE(B75:C79)</f>
        <v>1194.8</v>
      </c>
      <c r="I75">
        <f xml:space="preserve"> AVERAGE(D75:E79)</f>
        <v>1.3468370999999999</v>
      </c>
      <c r="J75">
        <f xml:space="preserve"> AVERAGE(F75:G79)</f>
        <v>1543.81331</v>
      </c>
      <c r="K75">
        <f>(STDEV(B75:C79)/SQRT(10))</f>
        <v>48.165640127469338</v>
      </c>
      <c r="L75">
        <f>(STDEV(D75:E79)/SQRT(10))</f>
        <v>0.15772555096393445</v>
      </c>
      <c r="M75">
        <f>(STDEV(F75:G79)/SQRT(10))</f>
        <v>127.8174837994478</v>
      </c>
      <c r="N75"/>
    </row>
    <row r="76" spans="1:14" x14ac:dyDescent="0.2">
      <c r="A76">
        <v>1000</v>
      </c>
      <c r="B76">
        <v>1037</v>
      </c>
      <c r="C76">
        <v>1347</v>
      </c>
      <c r="D76">
        <v>1.8349949999999999</v>
      </c>
      <c r="E76">
        <v>0.891961</v>
      </c>
      <c r="F76">
        <v>1201.4717000000001</v>
      </c>
      <c r="G76">
        <v>1902.8893</v>
      </c>
      <c r="I76"/>
      <c r="J76"/>
      <c r="K76"/>
      <c r="L76"/>
      <c r="M76"/>
      <c r="N76"/>
    </row>
    <row r="77" spans="1:14" x14ac:dyDescent="0.2">
      <c r="A77">
        <v>1000</v>
      </c>
      <c r="B77">
        <v>1045</v>
      </c>
      <c r="C77">
        <v>1388</v>
      </c>
      <c r="D77">
        <v>1.8682989999999999</v>
      </c>
      <c r="E77">
        <v>0.87832500000000002</v>
      </c>
      <c r="F77">
        <v>1219.1152999999999</v>
      </c>
      <c r="G77">
        <v>1952.3724999999999</v>
      </c>
      <c r="I77"/>
      <c r="J77"/>
      <c r="K77"/>
      <c r="L77"/>
      <c r="M77"/>
      <c r="N77"/>
    </row>
    <row r="78" spans="1:14" x14ac:dyDescent="0.2">
      <c r="A78">
        <v>1000</v>
      </c>
      <c r="B78">
        <v>1022</v>
      </c>
      <c r="C78">
        <v>1276</v>
      </c>
      <c r="D78">
        <v>1.775145</v>
      </c>
      <c r="E78">
        <v>0.88939599999999996</v>
      </c>
      <c r="F78">
        <v>1134.8688</v>
      </c>
      <c r="G78">
        <v>1814.1981000000001</v>
      </c>
      <c r="I78"/>
      <c r="J78"/>
      <c r="K78"/>
      <c r="L78"/>
      <c r="M78"/>
      <c r="N78"/>
    </row>
    <row r="79" spans="1:14" x14ac:dyDescent="0.2">
      <c r="A79">
        <v>1000</v>
      </c>
      <c r="B79">
        <v>1153</v>
      </c>
      <c r="C79">
        <v>1310</v>
      </c>
      <c r="D79">
        <v>1.772653</v>
      </c>
      <c r="E79">
        <v>0.81993400000000005</v>
      </c>
      <c r="F79">
        <v>1074.1133</v>
      </c>
      <c r="G79">
        <v>2043.8690999999999</v>
      </c>
      <c r="I79"/>
      <c r="J79"/>
      <c r="K79"/>
      <c r="L79"/>
      <c r="M79"/>
      <c r="N79"/>
    </row>
    <row r="80" spans="1:14" x14ac:dyDescent="0.2">
      <c r="A80">
        <v>2000</v>
      </c>
      <c r="B80">
        <v>1018</v>
      </c>
      <c r="C80"/>
      <c r="D80">
        <v>2.1682139999999999</v>
      </c>
      <c r="E80"/>
      <c r="F80"/>
      <c r="G80">
        <v>2207.2413999999999</v>
      </c>
      <c r="H80">
        <f xml:space="preserve"> AVERAGE(B80:C84)</f>
        <v>959.6</v>
      </c>
      <c r="I80">
        <f xml:space="preserve"> AVERAGE(D80:E84)</f>
        <v>2.2039453999999998</v>
      </c>
      <c r="J80">
        <f xml:space="preserve"> AVERAGE(F80:G84)</f>
        <v>2114.73756</v>
      </c>
      <c r="K80">
        <f>(STDEV(B80:C84)/SQRT(5))</f>
        <v>25.144780770569465</v>
      </c>
      <c r="L80">
        <f>(STDEV(D80:E84)/SQRT(10))</f>
        <v>1.1677904976064874E-2</v>
      </c>
      <c r="M80">
        <f>(STDEV(F80:G84)/SQRT(10))</f>
        <v>39.182117629982699</v>
      </c>
      <c r="N80"/>
    </row>
    <row r="81" spans="1:14" x14ac:dyDescent="0.2">
      <c r="A81">
        <v>2000</v>
      </c>
      <c r="B81">
        <v>1010</v>
      </c>
      <c r="C81"/>
      <c r="D81">
        <v>2.20207</v>
      </c>
      <c r="E81"/>
      <c r="F81"/>
      <c r="G81">
        <v>2224.0907000000002</v>
      </c>
      <c r="I81"/>
      <c r="J81"/>
      <c r="K81"/>
      <c r="L81"/>
      <c r="M81"/>
      <c r="N81"/>
    </row>
    <row r="82" spans="1:14" x14ac:dyDescent="0.2">
      <c r="A82">
        <v>2000</v>
      </c>
      <c r="B82">
        <v>950</v>
      </c>
      <c r="C82"/>
      <c r="D82">
        <v>2.2220650000000002</v>
      </c>
      <c r="E82"/>
      <c r="F82"/>
      <c r="G82">
        <v>2110.9621000000002</v>
      </c>
      <c r="I82"/>
      <c r="J82"/>
      <c r="K82"/>
      <c r="L82"/>
      <c r="M82"/>
      <c r="N82"/>
    </row>
    <row r="83" spans="1:14" x14ac:dyDescent="0.2">
      <c r="A83">
        <v>2000</v>
      </c>
      <c r="B83">
        <v>939</v>
      </c>
      <c r="C83"/>
      <c r="D83">
        <v>2.2564470000000001</v>
      </c>
      <c r="E83"/>
      <c r="F83"/>
      <c r="G83">
        <v>2118.8036999999999</v>
      </c>
      <c r="I83"/>
      <c r="J83"/>
      <c r="K83"/>
      <c r="L83"/>
      <c r="M83"/>
      <c r="N83"/>
    </row>
    <row r="84" spans="1:14" x14ac:dyDescent="0.2">
      <c r="A84">
        <v>2000</v>
      </c>
      <c r="B84">
        <v>881</v>
      </c>
      <c r="C84"/>
      <c r="D84">
        <v>2.1709309999999999</v>
      </c>
      <c r="E84"/>
      <c r="F84"/>
      <c r="G84">
        <v>1912.5898999999999</v>
      </c>
      <c r="I84"/>
      <c r="J84"/>
      <c r="K84"/>
      <c r="L84"/>
      <c r="M84"/>
      <c r="N84"/>
    </row>
    <row r="85" spans="1:14" x14ac:dyDescent="0.2">
      <c r="A85">
        <v>4000</v>
      </c>
      <c r="B85">
        <v>634</v>
      </c>
      <c r="C85">
        <v>737</v>
      </c>
      <c r="D85">
        <v>2.6699069999999998</v>
      </c>
      <c r="E85">
        <v>0.80134000000000005</v>
      </c>
      <c r="F85">
        <v>590.5874</v>
      </c>
      <c r="G85">
        <v>1692.7209</v>
      </c>
      <c r="H85">
        <f xml:space="preserve"> AVERAGE(B85:C89)</f>
        <v>697.8</v>
      </c>
      <c r="I85">
        <f xml:space="preserve"> AVERAGE(D85:E89)</f>
        <v>1.7098479000000002</v>
      </c>
      <c r="J85">
        <f xml:space="preserve"> AVERAGE(F85:G89)</f>
        <v>1151.34292</v>
      </c>
      <c r="K85">
        <f>(STDEV(B85:C89)/SQRT(10))</f>
        <v>17.146298596360541</v>
      </c>
      <c r="L85">
        <f>(STDEV(D85:E89)/SQRT(10))</f>
        <v>0.30620583814328567</v>
      </c>
      <c r="M85">
        <f>(STDEV(F85:G89)/SQRT(10))</f>
        <v>188.21064247010338</v>
      </c>
      <c r="N85"/>
    </row>
    <row r="86" spans="1:14" x14ac:dyDescent="0.2">
      <c r="A86">
        <v>4000</v>
      </c>
      <c r="B86">
        <v>679</v>
      </c>
      <c r="C86">
        <v>706</v>
      </c>
      <c r="D86">
        <v>2.58799</v>
      </c>
      <c r="E86">
        <v>0.79444400000000004</v>
      </c>
      <c r="F86">
        <v>560.87720000000002</v>
      </c>
      <c r="G86">
        <v>1757.2451000000001</v>
      </c>
      <c r="I86"/>
      <c r="J86"/>
      <c r="K86"/>
      <c r="L86"/>
      <c r="M86"/>
      <c r="N86"/>
    </row>
    <row r="87" spans="1:14" x14ac:dyDescent="0.2">
      <c r="A87">
        <v>4000</v>
      </c>
      <c r="B87">
        <v>636</v>
      </c>
      <c r="C87">
        <v>755</v>
      </c>
      <c r="D87">
        <v>2.7368429999999999</v>
      </c>
      <c r="E87">
        <v>0.81081899999999996</v>
      </c>
      <c r="F87">
        <v>612.16869999999994</v>
      </c>
      <c r="G87">
        <v>1740.6324</v>
      </c>
      <c r="I87"/>
      <c r="J87"/>
      <c r="K87"/>
      <c r="L87"/>
      <c r="M87"/>
      <c r="N87"/>
    </row>
    <row r="88" spans="1:14" x14ac:dyDescent="0.2">
      <c r="A88">
        <v>4000</v>
      </c>
      <c r="B88">
        <v>683</v>
      </c>
      <c r="C88">
        <v>744</v>
      </c>
      <c r="D88">
        <v>2.6410269999999998</v>
      </c>
      <c r="E88">
        <v>0.71547899999999998</v>
      </c>
      <c r="F88">
        <v>532.31619999999998</v>
      </c>
      <c r="G88">
        <v>1803.8215</v>
      </c>
      <c r="I88"/>
      <c r="J88"/>
      <c r="K88"/>
      <c r="L88"/>
      <c r="M88"/>
      <c r="N88"/>
    </row>
    <row r="89" spans="1:14" x14ac:dyDescent="0.2">
      <c r="A89">
        <v>4000</v>
      </c>
      <c r="B89">
        <v>628</v>
      </c>
      <c r="C89">
        <v>776</v>
      </c>
      <c r="D89">
        <v>2.4950640000000002</v>
      </c>
      <c r="E89">
        <v>0.84556600000000004</v>
      </c>
      <c r="F89">
        <v>656.15940000000001</v>
      </c>
      <c r="G89">
        <v>1566.9004</v>
      </c>
      <c r="I89"/>
      <c r="J89"/>
      <c r="K89"/>
      <c r="L89"/>
      <c r="M89"/>
      <c r="N8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80CD-BFCD-AF46-BDFC-78781A79EF4F}">
  <dimension ref="A1:BA106"/>
  <sheetViews>
    <sheetView zoomScale="64" workbookViewId="0">
      <selection activeCell="AY5" sqref="AY5:BA12"/>
    </sheetView>
  </sheetViews>
  <sheetFormatPr baseColWidth="10" defaultRowHeight="16" x14ac:dyDescent="0.2"/>
  <sheetData>
    <row r="1" spans="1:5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  <c r="AE1" t="s">
        <v>15</v>
      </c>
    </row>
    <row r="2" spans="1:53" x14ac:dyDescent="0.2">
      <c r="A2">
        <v>0</v>
      </c>
      <c r="B2" t="s">
        <v>46</v>
      </c>
      <c r="C2">
        <v>8</v>
      </c>
      <c r="D2">
        <v>674</v>
      </c>
      <c r="E2">
        <v>3.319922</v>
      </c>
      <c r="F2">
        <v>2.3193869999999999</v>
      </c>
      <c r="G2">
        <v>8.9339000000000002E-2</v>
      </c>
      <c r="H2">
        <v>2237.6275999999998</v>
      </c>
      <c r="I2">
        <v>1.138738</v>
      </c>
      <c r="J2">
        <v>0.30954900000000002</v>
      </c>
      <c r="K2">
        <v>1.1923E-2</v>
      </c>
      <c r="L2">
        <v>0.82687699999999997</v>
      </c>
      <c r="M2">
        <v>0.13728599999999999</v>
      </c>
      <c r="N2">
        <v>1.1923E-2</v>
      </c>
      <c r="O2">
        <v>23721.101772999999</v>
      </c>
      <c r="P2">
        <v>6563.7109200000004</v>
      </c>
      <c r="Q2">
        <v>252.82469800000001</v>
      </c>
    </row>
    <row r="3" spans="1:53" x14ac:dyDescent="0.2">
      <c r="A3">
        <v>0</v>
      </c>
      <c r="B3" t="s">
        <v>47</v>
      </c>
      <c r="C3">
        <v>8</v>
      </c>
      <c r="D3">
        <v>620</v>
      </c>
      <c r="E3">
        <v>3.5681620000000001</v>
      </c>
      <c r="F3">
        <v>2.5927730000000002</v>
      </c>
      <c r="G3">
        <v>0.104128</v>
      </c>
      <c r="H3">
        <v>2212.2606999999998</v>
      </c>
      <c r="I3">
        <v>1.157224</v>
      </c>
      <c r="J3">
        <v>0.42487399999999997</v>
      </c>
      <c r="K3">
        <v>1.7062999999999998E-2</v>
      </c>
      <c r="L3">
        <v>0.84087199999999995</v>
      </c>
      <c r="M3">
        <v>0.14702999999999999</v>
      </c>
      <c r="N3">
        <v>1.7062999999999998E-2</v>
      </c>
      <c r="O3">
        <v>23978.220528000002</v>
      </c>
      <c r="P3">
        <v>7205.2090799999996</v>
      </c>
      <c r="Q3">
        <v>289.36815999999999</v>
      </c>
    </row>
    <row r="4" spans="1:53" x14ac:dyDescent="0.2">
      <c r="A4">
        <v>0</v>
      </c>
      <c r="B4" t="s">
        <v>48</v>
      </c>
      <c r="C4">
        <v>8</v>
      </c>
      <c r="D4">
        <v>672</v>
      </c>
      <c r="E4">
        <v>3.6482619999999999</v>
      </c>
      <c r="F4">
        <v>2.8410639999999998</v>
      </c>
      <c r="G4">
        <v>0.109596</v>
      </c>
      <c r="H4">
        <v>2451.6323000000002</v>
      </c>
      <c r="I4">
        <v>1.158005</v>
      </c>
      <c r="J4">
        <v>0.462032</v>
      </c>
      <c r="K4">
        <v>1.7822999999999999E-2</v>
      </c>
      <c r="L4">
        <v>0.84239600000000003</v>
      </c>
      <c r="M4">
        <v>0.13917399999999999</v>
      </c>
      <c r="N4">
        <v>1.7822999999999999E-2</v>
      </c>
      <c r="O4">
        <v>24657.404761000002</v>
      </c>
      <c r="P4">
        <v>7374.3633920000002</v>
      </c>
      <c r="Q4">
        <v>284.47224399999999</v>
      </c>
    </row>
    <row r="5" spans="1:53" x14ac:dyDescent="0.2">
      <c r="A5">
        <v>0</v>
      </c>
      <c r="B5" t="s">
        <v>49</v>
      </c>
      <c r="C5">
        <v>8</v>
      </c>
      <c r="D5">
        <v>692</v>
      </c>
      <c r="E5">
        <v>3.7738040000000002</v>
      </c>
      <c r="F5">
        <v>2.9058000000000002</v>
      </c>
      <c r="G5">
        <v>0.110462</v>
      </c>
      <c r="H5">
        <v>2611.4724999999999</v>
      </c>
      <c r="I5">
        <v>1.126274</v>
      </c>
      <c r="J5">
        <v>0.36786000000000002</v>
      </c>
      <c r="K5">
        <v>1.3984E-2</v>
      </c>
      <c r="L5">
        <v>0.82412600000000003</v>
      </c>
      <c r="M5">
        <v>0.145677</v>
      </c>
      <c r="N5">
        <v>1.3984E-2</v>
      </c>
      <c r="O5">
        <v>25227.413992000002</v>
      </c>
      <c r="P5">
        <v>7392.1498769999998</v>
      </c>
      <c r="Q5">
        <v>281.00737400000003</v>
      </c>
      <c r="AY5" t="s">
        <v>68</v>
      </c>
      <c r="AZ5" t="s">
        <v>3</v>
      </c>
      <c r="BA5" t="s">
        <v>13</v>
      </c>
    </row>
    <row r="6" spans="1:53" x14ac:dyDescent="0.2">
      <c r="A6">
        <v>0</v>
      </c>
      <c r="B6" t="s">
        <v>50</v>
      </c>
      <c r="C6">
        <v>8</v>
      </c>
      <c r="D6">
        <v>675</v>
      </c>
      <c r="E6">
        <v>3.7077100000000001</v>
      </c>
      <c r="F6">
        <v>2.886727</v>
      </c>
      <c r="G6">
        <v>0.11111</v>
      </c>
      <c r="H6">
        <v>2502.7040999999999</v>
      </c>
      <c r="I6">
        <v>1.1699710000000001</v>
      </c>
      <c r="J6">
        <v>0.584978</v>
      </c>
      <c r="K6">
        <v>2.2516000000000001E-2</v>
      </c>
      <c r="L6">
        <v>0.82490600000000003</v>
      </c>
      <c r="M6">
        <v>0.145785</v>
      </c>
      <c r="N6">
        <v>2.2516000000000001E-2</v>
      </c>
      <c r="O6">
        <v>25239.779299000002</v>
      </c>
      <c r="P6">
        <v>7126.5285940000003</v>
      </c>
      <c r="Q6">
        <v>274.30021299999999</v>
      </c>
      <c r="R6">
        <f xml:space="preserve"> AVERAGE(D2:D6)</f>
        <v>666.6</v>
      </c>
      <c r="S6">
        <f t="shared" ref="S6:AE6" si="0" xml:space="preserve"> AVERAGE(E2:E6)</f>
        <v>3.6035719999999998</v>
      </c>
      <c r="T6">
        <f t="shared" si="0"/>
        <v>2.7091501999999998</v>
      </c>
      <c r="U6">
        <f t="shared" si="0"/>
        <v>0.10492699999999999</v>
      </c>
      <c r="V6">
        <f t="shared" si="0"/>
        <v>2403.1394399999999</v>
      </c>
      <c r="W6">
        <f t="shared" si="0"/>
        <v>1.1500424000000002</v>
      </c>
      <c r="X6">
        <f t="shared" si="0"/>
        <v>0.42985860000000004</v>
      </c>
      <c r="Y6">
        <f t="shared" si="0"/>
        <v>1.6661799999999997E-2</v>
      </c>
      <c r="Z6">
        <f t="shared" si="0"/>
        <v>0.83183540000000011</v>
      </c>
      <c r="AA6">
        <f t="shared" si="0"/>
        <v>0.14299040000000002</v>
      </c>
      <c r="AB6">
        <f t="shared" si="0"/>
        <v>1.6661799999999997E-2</v>
      </c>
      <c r="AC6">
        <f t="shared" si="0"/>
        <v>24564.784070600002</v>
      </c>
      <c r="AD6">
        <f t="shared" si="0"/>
        <v>7132.3923726000012</v>
      </c>
      <c r="AE6">
        <f t="shared" si="0"/>
        <v>276.39453779999997</v>
      </c>
      <c r="AF6" t="s">
        <v>68</v>
      </c>
      <c r="AG6" t="s">
        <v>2</v>
      </c>
      <c r="AH6" t="s">
        <v>3</v>
      </c>
      <c r="AI6" t="s">
        <v>7</v>
      </c>
      <c r="AJ6" t="s">
        <v>10</v>
      </c>
      <c r="AK6" t="s">
        <v>13</v>
      </c>
      <c r="AY6">
        <v>1</v>
      </c>
      <c r="AZ6">
        <v>3.6035719999999998</v>
      </c>
      <c r="BA6">
        <v>24564.784070600002</v>
      </c>
    </row>
    <row r="7" spans="1:53" x14ac:dyDescent="0.2">
      <c r="A7">
        <v>25</v>
      </c>
      <c r="B7" t="s">
        <v>16</v>
      </c>
      <c r="C7">
        <v>8</v>
      </c>
      <c r="D7">
        <v>737</v>
      </c>
      <c r="E7">
        <v>0.80134000000000005</v>
      </c>
      <c r="F7">
        <v>0.46899000000000002</v>
      </c>
      <c r="G7">
        <v>1.7274999999999999E-2</v>
      </c>
      <c r="H7">
        <v>590.5874</v>
      </c>
      <c r="I7">
        <v>1.4417359999999999</v>
      </c>
      <c r="J7">
        <v>0.59184000000000003</v>
      </c>
      <c r="K7">
        <v>2.1801000000000001E-2</v>
      </c>
      <c r="L7">
        <v>0.85400799999999999</v>
      </c>
      <c r="M7">
        <v>0.13695599999999999</v>
      </c>
      <c r="N7">
        <v>2.1801000000000001E-2</v>
      </c>
      <c r="O7">
        <v>8727.295607</v>
      </c>
      <c r="P7">
        <v>1405.843869</v>
      </c>
      <c r="Q7">
        <v>51.784923999999997</v>
      </c>
      <c r="AF7">
        <v>0</v>
      </c>
      <c r="AG7">
        <v>666.6</v>
      </c>
      <c r="AH7">
        <v>3.6035719999999998</v>
      </c>
      <c r="AI7">
        <v>1.1500424000000002</v>
      </c>
      <c r="AJ7">
        <v>0.83183540000000011</v>
      </c>
      <c r="AK7">
        <v>24564.784070600002</v>
      </c>
      <c r="AY7">
        <v>50</v>
      </c>
      <c r="AZ7">
        <v>2.7394925999999997</v>
      </c>
      <c r="BA7">
        <v>18214.429055599998</v>
      </c>
    </row>
    <row r="8" spans="1:53" x14ac:dyDescent="0.2">
      <c r="A8">
        <v>25</v>
      </c>
      <c r="B8" t="s">
        <v>17</v>
      </c>
      <c r="C8">
        <v>8</v>
      </c>
      <c r="D8">
        <v>706</v>
      </c>
      <c r="E8">
        <v>0.79444400000000004</v>
      </c>
      <c r="F8">
        <v>0.47089399999999998</v>
      </c>
      <c r="G8">
        <v>1.7722000000000002E-2</v>
      </c>
      <c r="H8">
        <v>560.87720000000002</v>
      </c>
      <c r="I8">
        <v>1.4421170000000001</v>
      </c>
      <c r="J8">
        <v>0.54295400000000005</v>
      </c>
      <c r="K8">
        <v>2.0434000000000001E-2</v>
      </c>
      <c r="L8">
        <v>0.85505500000000001</v>
      </c>
      <c r="M8">
        <v>0.13972399999999999</v>
      </c>
      <c r="N8">
        <v>2.0434000000000001E-2</v>
      </c>
      <c r="O8">
        <v>7574.5849449999996</v>
      </c>
      <c r="P8">
        <v>1184.003622</v>
      </c>
      <c r="Q8">
        <v>44.560563999999999</v>
      </c>
      <c r="AF8">
        <v>25</v>
      </c>
      <c r="AG8">
        <v>743.6</v>
      </c>
      <c r="AH8">
        <v>0.79352959999999995</v>
      </c>
      <c r="AI8">
        <v>1.4480998</v>
      </c>
      <c r="AJ8">
        <v>0.8546918</v>
      </c>
      <c r="AK8">
        <v>7662.4997297999998</v>
      </c>
      <c r="AY8">
        <v>100</v>
      </c>
      <c r="AZ8">
        <v>2.4284910000000002</v>
      </c>
      <c r="BA8">
        <v>15029.098575</v>
      </c>
    </row>
    <row r="9" spans="1:53" x14ac:dyDescent="0.2">
      <c r="A9">
        <v>25</v>
      </c>
      <c r="B9" t="s">
        <v>18</v>
      </c>
      <c r="C9">
        <v>8</v>
      </c>
      <c r="D9">
        <v>755</v>
      </c>
      <c r="E9">
        <v>0.81081899999999996</v>
      </c>
      <c r="F9">
        <v>0.4904</v>
      </c>
      <c r="G9">
        <v>1.7846999999999998E-2</v>
      </c>
      <c r="H9">
        <v>612.16869999999994</v>
      </c>
      <c r="I9">
        <v>1.467071</v>
      </c>
      <c r="J9">
        <v>0.69619900000000001</v>
      </c>
      <c r="K9">
        <v>2.5336999999999998E-2</v>
      </c>
      <c r="L9">
        <v>0.85187800000000002</v>
      </c>
      <c r="M9">
        <v>0.13681399999999999</v>
      </c>
      <c r="N9">
        <v>2.5336999999999998E-2</v>
      </c>
      <c r="O9">
        <v>7923.8095149999999</v>
      </c>
      <c r="P9">
        <v>1257.855953</v>
      </c>
      <c r="Q9">
        <v>45.778064999999998</v>
      </c>
      <c r="AF9">
        <v>50</v>
      </c>
      <c r="AG9">
        <v>996.8</v>
      </c>
      <c r="AH9">
        <v>2.7394925999999997</v>
      </c>
      <c r="AI9">
        <v>1.1853256000000001</v>
      </c>
      <c r="AJ9">
        <v>0.8599772</v>
      </c>
      <c r="AK9">
        <v>18214.429055599998</v>
      </c>
      <c r="AY9">
        <v>250</v>
      </c>
      <c r="AZ9">
        <v>1.5542058000000001</v>
      </c>
      <c r="BA9">
        <v>13484.959201399999</v>
      </c>
    </row>
    <row r="10" spans="1:53" x14ac:dyDescent="0.2">
      <c r="A10">
        <v>25</v>
      </c>
      <c r="B10" t="s">
        <v>19</v>
      </c>
      <c r="C10">
        <v>8</v>
      </c>
      <c r="D10">
        <v>744</v>
      </c>
      <c r="E10">
        <v>0.71547899999999998</v>
      </c>
      <c r="F10">
        <v>0.51625200000000004</v>
      </c>
      <c r="G10">
        <v>1.8926999999999999E-2</v>
      </c>
      <c r="H10">
        <v>532.31619999999998</v>
      </c>
      <c r="I10">
        <v>1.475962</v>
      </c>
      <c r="J10">
        <v>0.56852899999999995</v>
      </c>
      <c r="K10">
        <v>2.0843E-2</v>
      </c>
      <c r="L10">
        <v>0.85776200000000002</v>
      </c>
      <c r="M10">
        <v>0.143373</v>
      </c>
      <c r="N10">
        <v>2.0843E-2</v>
      </c>
      <c r="O10">
        <v>7223.0635860000002</v>
      </c>
      <c r="P10">
        <v>2211.70514</v>
      </c>
      <c r="Q10">
        <v>81.085044999999994</v>
      </c>
      <c r="AF10">
        <v>100</v>
      </c>
      <c r="AG10">
        <v>894.2</v>
      </c>
      <c r="AH10">
        <v>2.4284910000000002</v>
      </c>
      <c r="AI10">
        <v>1.1975694000000001</v>
      </c>
      <c r="AJ10">
        <v>0.87721739999999992</v>
      </c>
      <c r="AK10">
        <v>15029.098575</v>
      </c>
      <c r="AY10">
        <v>500</v>
      </c>
      <c r="AZ10">
        <v>1.3924356</v>
      </c>
      <c r="BA10">
        <v>11158.6988418</v>
      </c>
    </row>
    <row r="11" spans="1:53" x14ac:dyDescent="0.2">
      <c r="A11">
        <v>25</v>
      </c>
      <c r="B11" t="s">
        <v>20</v>
      </c>
      <c r="C11">
        <v>8</v>
      </c>
      <c r="D11">
        <v>776</v>
      </c>
      <c r="E11">
        <v>0.84556600000000004</v>
      </c>
      <c r="F11">
        <v>0.49987100000000001</v>
      </c>
      <c r="G11">
        <v>1.7944000000000002E-2</v>
      </c>
      <c r="H11">
        <v>656.15940000000001</v>
      </c>
      <c r="I11">
        <v>1.413613</v>
      </c>
      <c r="J11">
        <v>0.52939400000000003</v>
      </c>
      <c r="K11">
        <v>1.9004E-2</v>
      </c>
      <c r="L11">
        <v>0.85475599999999996</v>
      </c>
      <c r="M11">
        <v>0.142813</v>
      </c>
      <c r="N11">
        <v>1.9004E-2</v>
      </c>
      <c r="O11">
        <v>6863.7449960000004</v>
      </c>
      <c r="P11">
        <v>1170.898418</v>
      </c>
      <c r="Q11">
        <v>42.032803999999999</v>
      </c>
      <c r="R11">
        <f xml:space="preserve"> AVERAGE(D7:D11)</f>
        <v>743.6</v>
      </c>
      <c r="S11">
        <f t="shared" ref="S11:AE11" si="1" xml:space="preserve"> AVERAGE(E7:E11)</f>
        <v>0.79352959999999995</v>
      </c>
      <c r="T11">
        <f t="shared" si="1"/>
        <v>0.48928140000000003</v>
      </c>
      <c r="U11">
        <f t="shared" si="1"/>
        <v>1.7943000000000001E-2</v>
      </c>
      <c r="V11">
        <f t="shared" si="1"/>
        <v>590.4217799999999</v>
      </c>
      <c r="W11">
        <f t="shared" si="1"/>
        <v>1.4480998</v>
      </c>
      <c r="X11">
        <f t="shared" si="1"/>
        <v>0.58578320000000006</v>
      </c>
      <c r="Y11">
        <f t="shared" si="1"/>
        <v>2.1483799999999997E-2</v>
      </c>
      <c r="Z11">
        <f t="shared" si="1"/>
        <v>0.8546918</v>
      </c>
      <c r="AA11">
        <f t="shared" si="1"/>
        <v>0.139936</v>
      </c>
      <c r="AB11">
        <f t="shared" si="1"/>
        <v>2.1483799999999997E-2</v>
      </c>
      <c r="AC11">
        <f t="shared" si="1"/>
        <v>7662.4997297999998</v>
      </c>
      <c r="AD11">
        <f t="shared" si="1"/>
        <v>1446.0614003999999</v>
      </c>
      <c r="AE11">
        <f t="shared" si="1"/>
        <v>53.048280399999996</v>
      </c>
      <c r="AF11">
        <v>250</v>
      </c>
      <c r="AG11">
        <v>1429.6</v>
      </c>
      <c r="AH11">
        <v>1.5542058000000001</v>
      </c>
      <c r="AI11">
        <v>1.2857556000000001</v>
      </c>
      <c r="AJ11">
        <v>0.82733199999999996</v>
      </c>
      <c r="AK11">
        <v>13484.959201399999</v>
      </c>
      <c r="AY11">
        <v>2000</v>
      </c>
      <c r="AZ11">
        <v>0.87485160000000006</v>
      </c>
      <c r="BA11">
        <v>8346.0902201999997</v>
      </c>
    </row>
    <row r="12" spans="1:53" x14ac:dyDescent="0.2">
      <c r="A12">
        <v>50</v>
      </c>
      <c r="B12" t="s">
        <v>21</v>
      </c>
      <c r="C12">
        <v>8</v>
      </c>
      <c r="D12">
        <v>984</v>
      </c>
      <c r="E12">
        <v>2.6469969999999998</v>
      </c>
      <c r="F12">
        <v>1.710407</v>
      </c>
      <c r="G12">
        <v>5.4525999999999998E-2</v>
      </c>
      <c r="H12">
        <v>2604.6448999999998</v>
      </c>
      <c r="I12">
        <v>1.2099800000000001</v>
      </c>
      <c r="J12">
        <v>0.53830599999999995</v>
      </c>
      <c r="K12">
        <v>1.7160999999999999E-2</v>
      </c>
      <c r="L12">
        <v>0.86074399999999995</v>
      </c>
      <c r="M12">
        <v>0.13119400000000001</v>
      </c>
      <c r="N12">
        <v>1.7160999999999999E-2</v>
      </c>
      <c r="O12">
        <v>18231.763511000001</v>
      </c>
      <c r="P12">
        <v>3539.3054029999998</v>
      </c>
      <c r="Q12">
        <v>112.828935</v>
      </c>
      <c r="AF12">
        <v>500</v>
      </c>
      <c r="AG12">
        <v>1547.2</v>
      </c>
      <c r="AH12">
        <v>1.3924356</v>
      </c>
      <c r="AI12">
        <v>1.2971743999999998</v>
      </c>
      <c r="AJ12">
        <v>0.82012119999999999</v>
      </c>
      <c r="AK12">
        <v>11158.6988418</v>
      </c>
      <c r="AY12">
        <v>4000</v>
      </c>
      <c r="AZ12">
        <v>0.79352959999999995</v>
      </c>
      <c r="BA12">
        <v>7662.4997297999998</v>
      </c>
    </row>
    <row r="13" spans="1:53" x14ac:dyDescent="0.2">
      <c r="A13">
        <v>50</v>
      </c>
      <c r="B13" t="s">
        <v>22</v>
      </c>
      <c r="C13">
        <v>8</v>
      </c>
      <c r="D13">
        <v>998</v>
      </c>
      <c r="E13">
        <v>2.6492360000000001</v>
      </c>
      <c r="F13">
        <v>1.753171</v>
      </c>
      <c r="G13">
        <v>5.5495999999999997E-2</v>
      </c>
      <c r="H13">
        <v>2643.9373999999998</v>
      </c>
      <c r="I13">
        <v>1.198385</v>
      </c>
      <c r="J13">
        <v>0.48814600000000002</v>
      </c>
      <c r="K13">
        <v>1.5452E-2</v>
      </c>
      <c r="L13">
        <v>0.85422500000000001</v>
      </c>
      <c r="M13">
        <v>0.13112699999999999</v>
      </c>
      <c r="N13">
        <v>1.5452E-2</v>
      </c>
      <c r="O13">
        <v>17957.095732000002</v>
      </c>
      <c r="P13">
        <v>3584.4846160000002</v>
      </c>
      <c r="Q13">
        <v>113.464878</v>
      </c>
      <c r="AF13">
        <v>2000</v>
      </c>
      <c r="AG13">
        <v>1332.6</v>
      </c>
      <c r="AH13">
        <v>0.87485160000000006</v>
      </c>
      <c r="AI13">
        <v>1.4494696</v>
      </c>
      <c r="AJ13">
        <v>0.81886080000000006</v>
      </c>
      <c r="AK13">
        <v>8346.0902201999997</v>
      </c>
    </row>
    <row r="14" spans="1:53" x14ac:dyDescent="0.2">
      <c r="A14">
        <v>50</v>
      </c>
      <c r="B14" t="s">
        <v>23</v>
      </c>
      <c r="C14">
        <v>8</v>
      </c>
      <c r="D14">
        <v>996</v>
      </c>
      <c r="E14">
        <v>2.687592</v>
      </c>
      <c r="F14">
        <v>1.7259469999999999</v>
      </c>
      <c r="G14">
        <v>5.4689000000000002E-2</v>
      </c>
      <c r="H14">
        <v>2676.8416999999999</v>
      </c>
      <c r="I14">
        <v>1.1729799999999999</v>
      </c>
      <c r="J14">
        <v>0.31455300000000003</v>
      </c>
      <c r="K14">
        <v>9.9670000000000002E-3</v>
      </c>
      <c r="L14">
        <v>0.85821700000000001</v>
      </c>
      <c r="M14">
        <v>0.138407</v>
      </c>
      <c r="N14">
        <v>9.9670000000000002E-3</v>
      </c>
      <c r="O14">
        <v>19057.816269999999</v>
      </c>
      <c r="P14">
        <v>3744.2374249999998</v>
      </c>
      <c r="Q14">
        <v>118.640703</v>
      </c>
      <c r="AF14">
        <v>4000</v>
      </c>
      <c r="AG14">
        <v>743.6</v>
      </c>
      <c r="AH14">
        <v>0.79352959999999995</v>
      </c>
      <c r="AI14">
        <v>1.4480998</v>
      </c>
      <c r="AJ14">
        <v>0.85460000000000003</v>
      </c>
      <c r="AK14">
        <v>7662.4997297999998</v>
      </c>
    </row>
    <row r="15" spans="1:53" x14ac:dyDescent="0.2">
      <c r="A15">
        <v>50</v>
      </c>
      <c r="B15" t="s">
        <v>24</v>
      </c>
      <c r="C15">
        <v>8</v>
      </c>
      <c r="D15">
        <v>1018</v>
      </c>
      <c r="E15">
        <v>2.839731</v>
      </c>
      <c r="F15">
        <v>1.83711</v>
      </c>
      <c r="G15">
        <v>5.7578999999999998E-2</v>
      </c>
      <c r="H15">
        <v>2890.8463999999999</v>
      </c>
      <c r="I15">
        <v>1.179262</v>
      </c>
      <c r="J15">
        <v>0.37949100000000002</v>
      </c>
      <c r="K15">
        <v>1.1894E-2</v>
      </c>
      <c r="L15">
        <v>0.86418099999999998</v>
      </c>
      <c r="M15">
        <v>0.12773699999999999</v>
      </c>
      <c r="N15">
        <v>1.1894E-2</v>
      </c>
      <c r="O15">
        <v>18080.697050999999</v>
      </c>
      <c r="P15">
        <v>3448.6774869999999</v>
      </c>
      <c r="Q15">
        <v>108.088302</v>
      </c>
    </row>
    <row r="16" spans="1:53" x14ac:dyDescent="0.2">
      <c r="A16">
        <v>50</v>
      </c>
      <c r="B16" t="s">
        <v>25</v>
      </c>
      <c r="C16">
        <v>8</v>
      </c>
      <c r="D16">
        <v>988</v>
      </c>
      <c r="E16">
        <v>2.873907</v>
      </c>
      <c r="F16">
        <v>1.811272</v>
      </c>
      <c r="G16">
        <v>5.7624000000000002E-2</v>
      </c>
      <c r="H16">
        <v>2839.4196999999999</v>
      </c>
      <c r="I16">
        <v>1.166021</v>
      </c>
      <c r="J16">
        <v>0.29021999999999998</v>
      </c>
      <c r="K16">
        <v>9.2329999999999999E-3</v>
      </c>
      <c r="L16">
        <v>0.86251900000000004</v>
      </c>
      <c r="M16">
        <v>0.12804699999999999</v>
      </c>
      <c r="N16">
        <v>9.2329999999999999E-3</v>
      </c>
      <c r="O16">
        <v>17744.772713999999</v>
      </c>
      <c r="P16">
        <v>3472.9808229999999</v>
      </c>
      <c r="Q16">
        <v>110.490239</v>
      </c>
      <c r="R16">
        <f xml:space="preserve"> AVERAGE(D12:D16)</f>
        <v>996.8</v>
      </c>
      <c r="S16">
        <f t="shared" ref="S16:AE16" si="2" xml:space="preserve"> AVERAGE(E12:E16)</f>
        <v>2.7394925999999997</v>
      </c>
      <c r="T16">
        <f t="shared" si="2"/>
        <v>1.7675813999999999</v>
      </c>
      <c r="U16">
        <f t="shared" si="2"/>
        <v>5.5982799999999999E-2</v>
      </c>
      <c r="V16">
        <f t="shared" si="2"/>
        <v>2731.1380199999999</v>
      </c>
      <c r="W16">
        <f t="shared" si="2"/>
        <v>1.1853256000000001</v>
      </c>
      <c r="X16">
        <f t="shared" si="2"/>
        <v>0.40214319999999998</v>
      </c>
      <c r="Y16">
        <f t="shared" si="2"/>
        <v>1.2741400000000003E-2</v>
      </c>
      <c r="Z16">
        <f t="shared" si="2"/>
        <v>0.8599772</v>
      </c>
      <c r="AA16">
        <f t="shared" si="2"/>
        <v>0.13130239999999999</v>
      </c>
      <c r="AB16">
        <f t="shared" si="2"/>
        <v>1.2741400000000003E-2</v>
      </c>
      <c r="AC16">
        <f t="shared" si="2"/>
        <v>18214.429055599998</v>
      </c>
      <c r="AD16">
        <f t="shared" si="2"/>
        <v>3557.9371507999995</v>
      </c>
      <c r="AE16">
        <f t="shared" si="2"/>
        <v>112.7026114</v>
      </c>
    </row>
    <row r="17" spans="1:31" x14ac:dyDescent="0.2">
      <c r="A17">
        <v>100</v>
      </c>
      <c r="B17" t="s">
        <v>26</v>
      </c>
      <c r="C17">
        <v>8</v>
      </c>
      <c r="D17">
        <v>887</v>
      </c>
      <c r="E17">
        <v>2.4452600000000002</v>
      </c>
      <c r="F17">
        <v>1.480175</v>
      </c>
      <c r="G17">
        <v>4.9699E-2</v>
      </c>
      <c r="H17">
        <v>2168.9459999999999</v>
      </c>
      <c r="I17">
        <v>1.190472</v>
      </c>
      <c r="J17">
        <v>0.33997899999999998</v>
      </c>
      <c r="K17">
        <v>1.1415E-2</v>
      </c>
      <c r="L17">
        <v>0.87803500000000001</v>
      </c>
      <c r="M17">
        <v>0.121529</v>
      </c>
      <c r="N17">
        <v>1.1415E-2</v>
      </c>
      <c r="O17">
        <v>15437.831536</v>
      </c>
      <c r="P17">
        <v>3448.3183990000002</v>
      </c>
      <c r="Q17">
        <v>115.78319999999999</v>
      </c>
    </row>
    <row r="18" spans="1:31" x14ac:dyDescent="0.2">
      <c r="A18">
        <v>100</v>
      </c>
      <c r="B18" t="s">
        <v>27</v>
      </c>
      <c r="C18">
        <v>8</v>
      </c>
      <c r="D18">
        <v>902</v>
      </c>
      <c r="E18">
        <v>2.5014059999999998</v>
      </c>
      <c r="F18">
        <v>1.5010300000000001</v>
      </c>
      <c r="G18">
        <v>4.9979000000000003E-2</v>
      </c>
      <c r="H18">
        <v>2256.2683000000002</v>
      </c>
      <c r="I18">
        <v>1.186706</v>
      </c>
      <c r="J18">
        <v>0.32012000000000002</v>
      </c>
      <c r="K18">
        <v>1.0659E-2</v>
      </c>
      <c r="L18">
        <v>0.88199700000000003</v>
      </c>
      <c r="M18">
        <v>0.123559</v>
      </c>
      <c r="N18">
        <v>1.0659E-2</v>
      </c>
      <c r="O18">
        <v>15711.259926000001</v>
      </c>
      <c r="P18">
        <v>3177.7684170000002</v>
      </c>
      <c r="Q18">
        <v>105.808115</v>
      </c>
    </row>
    <row r="19" spans="1:31" x14ac:dyDescent="0.2">
      <c r="A19">
        <v>100</v>
      </c>
      <c r="B19" t="s">
        <v>28</v>
      </c>
      <c r="C19">
        <v>8</v>
      </c>
      <c r="D19">
        <v>930</v>
      </c>
      <c r="E19">
        <v>2.4324189999999999</v>
      </c>
      <c r="F19">
        <v>1.4189529999999999</v>
      </c>
      <c r="G19">
        <v>4.6529000000000001E-2</v>
      </c>
      <c r="H19">
        <v>2262.1495</v>
      </c>
      <c r="I19">
        <v>1.1888270000000001</v>
      </c>
      <c r="J19">
        <v>0.31658700000000001</v>
      </c>
      <c r="K19">
        <v>1.0381E-2</v>
      </c>
      <c r="L19">
        <v>0.87113200000000002</v>
      </c>
      <c r="M19">
        <v>0.12956599999999999</v>
      </c>
      <c r="N19">
        <v>1.0381E-2</v>
      </c>
      <c r="O19">
        <v>14917.425485</v>
      </c>
      <c r="P19">
        <v>3054.4706820000001</v>
      </c>
      <c r="Q19">
        <v>100.160039</v>
      </c>
    </row>
    <row r="20" spans="1:31" x14ac:dyDescent="0.2">
      <c r="A20">
        <v>100</v>
      </c>
      <c r="B20" t="s">
        <v>29</v>
      </c>
      <c r="C20">
        <v>8</v>
      </c>
      <c r="D20">
        <v>897</v>
      </c>
      <c r="E20">
        <v>2.3064260000000001</v>
      </c>
      <c r="F20">
        <v>1.358722</v>
      </c>
      <c r="G20">
        <v>4.5365999999999997E-2</v>
      </c>
      <c r="H20">
        <v>2068.8642</v>
      </c>
      <c r="I20">
        <v>1.2191650000000001</v>
      </c>
      <c r="J20">
        <v>0.44227499999999997</v>
      </c>
      <c r="K20">
        <v>1.4767000000000001E-2</v>
      </c>
      <c r="L20">
        <v>0.88126099999999996</v>
      </c>
      <c r="M20">
        <v>0.121434</v>
      </c>
      <c r="N20">
        <v>1.4767000000000001E-2</v>
      </c>
      <c r="O20">
        <v>14894.316580999999</v>
      </c>
      <c r="P20">
        <v>2992.304826</v>
      </c>
      <c r="Q20">
        <v>99.910150000000002</v>
      </c>
    </row>
    <row r="21" spans="1:31" x14ac:dyDescent="0.2">
      <c r="A21">
        <v>100</v>
      </c>
      <c r="B21" t="s">
        <v>30</v>
      </c>
      <c r="C21">
        <v>8</v>
      </c>
      <c r="D21">
        <v>855</v>
      </c>
      <c r="E21">
        <v>2.456944</v>
      </c>
      <c r="F21">
        <v>1.4304190000000001</v>
      </c>
      <c r="G21">
        <v>4.8918999999999997E-2</v>
      </c>
      <c r="H21">
        <v>2100.6869000000002</v>
      </c>
      <c r="I21">
        <v>1.202677</v>
      </c>
      <c r="J21">
        <v>0.42305199999999998</v>
      </c>
      <c r="K21">
        <v>1.4468E-2</v>
      </c>
      <c r="L21">
        <v>0.87366200000000005</v>
      </c>
      <c r="M21">
        <v>0.130352</v>
      </c>
      <c r="N21">
        <v>1.4468E-2</v>
      </c>
      <c r="O21">
        <v>14184.659347000001</v>
      </c>
      <c r="P21">
        <v>2828.081009</v>
      </c>
      <c r="Q21">
        <v>96.718329999999995</v>
      </c>
      <c r="R21">
        <f xml:space="preserve"> AVERAGE(D17:D21)</f>
        <v>894.2</v>
      </c>
      <c r="S21">
        <f t="shared" ref="S21:AE21" si="3" xml:space="preserve"> AVERAGE(E17:E21)</f>
        <v>2.4284910000000002</v>
      </c>
      <c r="T21">
        <f t="shared" si="3"/>
        <v>1.4378598</v>
      </c>
      <c r="U21">
        <f t="shared" si="3"/>
        <v>4.8098399999999999E-2</v>
      </c>
      <c r="V21">
        <f t="shared" si="3"/>
        <v>2171.3829799999999</v>
      </c>
      <c r="W21">
        <f t="shared" si="3"/>
        <v>1.1975694000000001</v>
      </c>
      <c r="X21">
        <f t="shared" si="3"/>
        <v>0.36840259999999997</v>
      </c>
      <c r="Y21">
        <f t="shared" si="3"/>
        <v>1.2338E-2</v>
      </c>
      <c r="Z21">
        <f t="shared" si="3"/>
        <v>0.87721739999999992</v>
      </c>
      <c r="AA21">
        <f t="shared" si="3"/>
        <v>0.12528800000000001</v>
      </c>
      <c r="AB21">
        <f t="shared" si="3"/>
        <v>1.2338E-2</v>
      </c>
      <c r="AC21">
        <f t="shared" si="3"/>
        <v>15029.098575</v>
      </c>
      <c r="AD21">
        <f t="shared" si="3"/>
        <v>3100.1886666</v>
      </c>
      <c r="AE21">
        <f t="shared" si="3"/>
        <v>103.6759668</v>
      </c>
    </row>
    <row r="22" spans="1:31" x14ac:dyDescent="0.2">
      <c r="A22">
        <v>250</v>
      </c>
      <c r="B22" t="s">
        <v>31</v>
      </c>
      <c r="C22">
        <v>8</v>
      </c>
      <c r="D22">
        <v>1427</v>
      </c>
      <c r="E22">
        <v>1.51766</v>
      </c>
      <c r="F22">
        <v>1.015255</v>
      </c>
      <c r="G22">
        <v>2.6876000000000001E-2</v>
      </c>
      <c r="H22">
        <v>2165.7012</v>
      </c>
      <c r="I22">
        <v>1.2980959999999999</v>
      </c>
      <c r="J22">
        <v>0.61291399999999996</v>
      </c>
      <c r="K22">
        <v>1.6225E-2</v>
      </c>
      <c r="L22">
        <v>0.82682</v>
      </c>
      <c r="M22">
        <v>0.161997</v>
      </c>
      <c r="N22">
        <v>1.6225E-2</v>
      </c>
      <c r="O22">
        <v>13930.052572000001</v>
      </c>
      <c r="P22">
        <v>2349.4505530000001</v>
      </c>
      <c r="Q22">
        <v>62.194834999999998</v>
      </c>
    </row>
    <row r="23" spans="1:31" x14ac:dyDescent="0.2">
      <c r="A23">
        <v>250</v>
      </c>
      <c r="B23" t="s">
        <v>32</v>
      </c>
      <c r="C23">
        <v>8</v>
      </c>
      <c r="D23">
        <v>1412</v>
      </c>
      <c r="E23">
        <v>1.5700480000000001</v>
      </c>
      <c r="F23">
        <v>1.0210779999999999</v>
      </c>
      <c r="G23">
        <v>2.7172999999999999E-2</v>
      </c>
      <c r="H23">
        <v>2216.9081999999999</v>
      </c>
      <c r="I23">
        <v>1.277568</v>
      </c>
      <c r="J23">
        <v>0.54501599999999994</v>
      </c>
      <c r="K23">
        <v>1.4504E-2</v>
      </c>
      <c r="L23">
        <v>0.83096300000000001</v>
      </c>
      <c r="M23">
        <v>0.16048599999999999</v>
      </c>
      <c r="N23">
        <v>1.4504E-2</v>
      </c>
      <c r="O23">
        <v>13310.417896000001</v>
      </c>
      <c r="P23">
        <v>2216.2351010000002</v>
      </c>
      <c r="Q23">
        <v>58.979146</v>
      </c>
    </row>
    <row r="24" spans="1:31" x14ac:dyDescent="0.2">
      <c r="A24">
        <v>250</v>
      </c>
      <c r="B24" t="s">
        <v>33</v>
      </c>
      <c r="C24">
        <v>8</v>
      </c>
      <c r="D24">
        <v>1394</v>
      </c>
      <c r="E24">
        <v>1.5189029999999999</v>
      </c>
      <c r="F24">
        <v>1.0158389999999999</v>
      </c>
      <c r="G24">
        <v>2.7208E-2</v>
      </c>
      <c r="H24">
        <v>2117.3503000000001</v>
      </c>
      <c r="I24">
        <v>1.281282</v>
      </c>
      <c r="J24">
        <v>0.56779000000000002</v>
      </c>
      <c r="K24">
        <v>1.5207E-2</v>
      </c>
      <c r="L24">
        <v>0.82215400000000005</v>
      </c>
      <c r="M24">
        <v>0.16545099999999999</v>
      </c>
      <c r="N24">
        <v>1.5207E-2</v>
      </c>
      <c r="O24">
        <v>12955.537116</v>
      </c>
      <c r="P24">
        <v>2173.3400179999999</v>
      </c>
      <c r="Q24">
        <v>58.209825000000002</v>
      </c>
    </row>
    <row r="25" spans="1:31" x14ac:dyDescent="0.2">
      <c r="A25">
        <v>250</v>
      </c>
      <c r="B25" t="s">
        <v>34</v>
      </c>
      <c r="C25">
        <v>8</v>
      </c>
      <c r="D25">
        <v>1486</v>
      </c>
      <c r="E25">
        <v>1.628268</v>
      </c>
      <c r="F25">
        <v>1.0820719999999999</v>
      </c>
      <c r="G25">
        <v>2.8070000000000001E-2</v>
      </c>
      <c r="H25">
        <v>2419.6068</v>
      </c>
      <c r="I25">
        <v>1.2693890000000001</v>
      </c>
      <c r="J25">
        <v>0.59085299999999996</v>
      </c>
      <c r="K25">
        <v>1.5327E-2</v>
      </c>
      <c r="L25">
        <v>0.82439300000000004</v>
      </c>
      <c r="M25">
        <v>0.16200400000000001</v>
      </c>
      <c r="N25">
        <v>1.5327E-2</v>
      </c>
      <c r="O25">
        <v>13805.368951</v>
      </c>
      <c r="P25">
        <v>2373.7077869999998</v>
      </c>
      <c r="Q25">
        <v>61.576903999999999</v>
      </c>
    </row>
    <row r="26" spans="1:31" x14ac:dyDescent="0.2">
      <c r="A26">
        <v>250</v>
      </c>
      <c r="B26" t="s">
        <v>35</v>
      </c>
      <c r="C26">
        <v>8</v>
      </c>
      <c r="D26">
        <v>1429</v>
      </c>
      <c r="E26">
        <v>1.5361499999999999</v>
      </c>
      <c r="F26">
        <v>1.1043559999999999</v>
      </c>
      <c r="G26">
        <v>2.9214E-2</v>
      </c>
      <c r="H26">
        <v>2195.1579000000002</v>
      </c>
      <c r="I26">
        <v>1.302443</v>
      </c>
      <c r="J26">
        <v>0.57504699999999997</v>
      </c>
      <c r="K26">
        <v>1.5212E-2</v>
      </c>
      <c r="L26">
        <v>0.83233000000000001</v>
      </c>
      <c r="M26">
        <v>0.15732199999999999</v>
      </c>
      <c r="N26">
        <v>1.5212E-2</v>
      </c>
      <c r="O26">
        <v>13423.419472</v>
      </c>
      <c r="P26">
        <v>2406.5627100000002</v>
      </c>
      <c r="Q26">
        <v>63.662115999999997</v>
      </c>
      <c r="R26">
        <f xml:space="preserve"> AVERAGE(D22:D26)</f>
        <v>1429.6</v>
      </c>
      <c r="S26">
        <f t="shared" ref="S26:AE26" si="4" xml:space="preserve"> AVERAGE(E22:E26)</f>
        <v>1.5542058000000001</v>
      </c>
      <c r="T26">
        <f t="shared" si="4"/>
        <v>1.04772</v>
      </c>
      <c r="U26">
        <f t="shared" si="4"/>
        <v>2.7708199999999999E-2</v>
      </c>
      <c r="V26">
        <f t="shared" si="4"/>
        <v>2222.94488</v>
      </c>
      <c r="W26">
        <f t="shared" si="4"/>
        <v>1.2857556000000001</v>
      </c>
      <c r="X26">
        <f t="shared" si="4"/>
        <v>0.57832400000000006</v>
      </c>
      <c r="Y26">
        <f t="shared" si="4"/>
        <v>1.5295E-2</v>
      </c>
      <c r="Z26">
        <f t="shared" si="4"/>
        <v>0.82733199999999996</v>
      </c>
      <c r="AA26">
        <f t="shared" si="4"/>
        <v>0.16145199999999998</v>
      </c>
      <c r="AB26">
        <f t="shared" si="4"/>
        <v>1.5295E-2</v>
      </c>
      <c r="AC26">
        <f t="shared" si="4"/>
        <v>13484.959201399999</v>
      </c>
      <c r="AD26">
        <f t="shared" si="4"/>
        <v>2303.8592338000003</v>
      </c>
      <c r="AE26">
        <f t="shared" si="4"/>
        <v>60.924565200000004</v>
      </c>
    </row>
    <row r="27" spans="1:31" x14ac:dyDescent="0.2">
      <c r="A27">
        <v>500</v>
      </c>
      <c r="B27" t="s">
        <v>36</v>
      </c>
      <c r="C27">
        <v>8</v>
      </c>
      <c r="D27">
        <v>1549</v>
      </c>
      <c r="E27">
        <v>1.405689</v>
      </c>
      <c r="F27">
        <v>0.89818600000000004</v>
      </c>
      <c r="G27">
        <v>2.2821000000000001E-2</v>
      </c>
      <c r="H27">
        <v>2177.4128999999998</v>
      </c>
      <c r="I27">
        <v>1.2950759999999999</v>
      </c>
      <c r="J27">
        <v>0.61045899999999997</v>
      </c>
      <c r="K27">
        <v>1.5511E-2</v>
      </c>
      <c r="L27">
        <v>0.82208700000000001</v>
      </c>
      <c r="M27">
        <v>0.167018</v>
      </c>
      <c r="N27">
        <v>1.5511E-2</v>
      </c>
      <c r="O27">
        <v>11648.709252000001</v>
      </c>
      <c r="P27">
        <v>1949.7538380000001</v>
      </c>
      <c r="Q27">
        <v>49.53978</v>
      </c>
    </row>
    <row r="28" spans="1:31" x14ac:dyDescent="0.2">
      <c r="A28">
        <v>500</v>
      </c>
      <c r="B28" t="s">
        <v>37</v>
      </c>
      <c r="C28">
        <v>8</v>
      </c>
      <c r="D28">
        <v>1525</v>
      </c>
      <c r="E28">
        <v>1.336784</v>
      </c>
      <c r="F28">
        <v>0.88733600000000001</v>
      </c>
      <c r="G28">
        <v>2.2721999999999999E-2</v>
      </c>
      <c r="H28">
        <v>2038.5962999999999</v>
      </c>
      <c r="I28">
        <v>1.3105290000000001</v>
      </c>
      <c r="J28">
        <v>0.60755300000000001</v>
      </c>
      <c r="K28">
        <v>1.5558000000000001E-2</v>
      </c>
      <c r="L28">
        <v>0.81637300000000002</v>
      </c>
      <c r="M28">
        <v>0.17168900000000001</v>
      </c>
      <c r="N28">
        <v>1.5558000000000001E-2</v>
      </c>
      <c r="O28">
        <v>11102.364991</v>
      </c>
      <c r="P28">
        <v>1796.7275959999999</v>
      </c>
      <c r="Q28">
        <v>46.009478999999999</v>
      </c>
    </row>
    <row r="29" spans="1:31" x14ac:dyDescent="0.2">
      <c r="A29">
        <v>500</v>
      </c>
      <c r="B29" t="s">
        <v>38</v>
      </c>
      <c r="C29">
        <v>8</v>
      </c>
      <c r="D29">
        <v>1569</v>
      </c>
      <c r="E29">
        <v>1.472896</v>
      </c>
      <c r="F29">
        <v>0.98297199999999996</v>
      </c>
      <c r="G29">
        <v>2.4816000000000001E-2</v>
      </c>
      <c r="H29">
        <v>2310.9735999999998</v>
      </c>
      <c r="I29">
        <v>1.284605</v>
      </c>
      <c r="J29">
        <v>0.55910000000000004</v>
      </c>
      <c r="K29">
        <v>1.4115000000000001E-2</v>
      </c>
      <c r="L29">
        <v>0.82199500000000003</v>
      </c>
      <c r="M29">
        <v>0.16838900000000001</v>
      </c>
      <c r="N29">
        <v>1.4115000000000001E-2</v>
      </c>
      <c r="O29">
        <v>11120.92733</v>
      </c>
      <c r="P29">
        <v>1834.4063329999999</v>
      </c>
      <c r="Q29">
        <v>46.310989999999997</v>
      </c>
    </row>
    <row r="30" spans="1:31" x14ac:dyDescent="0.2">
      <c r="A30">
        <v>500</v>
      </c>
      <c r="B30" t="s">
        <v>39</v>
      </c>
      <c r="C30">
        <v>8</v>
      </c>
      <c r="D30">
        <v>1523</v>
      </c>
      <c r="E30">
        <v>1.415616</v>
      </c>
      <c r="F30">
        <v>0.95042599999999999</v>
      </c>
      <c r="G30">
        <v>2.4354000000000001E-2</v>
      </c>
      <c r="H30">
        <v>2155.9837000000002</v>
      </c>
      <c r="I30">
        <v>1.3047280000000001</v>
      </c>
      <c r="J30">
        <v>0.62299099999999996</v>
      </c>
      <c r="K30">
        <v>1.5963999999999999E-2</v>
      </c>
      <c r="L30">
        <v>0.81929799999999997</v>
      </c>
      <c r="M30">
        <v>0.169322</v>
      </c>
      <c r="N30">
        <v>1.5963999999999999E-2</v>
      </c>
      <c r="O30">
        <v>11102.869212</v>
      </c>
      <c r="P30">
        <v>1862.9101310000001</v>
      </c>
      <c r="Q30">
        <v>47.735551999999998</v>
      </c>
    </row>
    <row r="31" spans="1:31" x14ac:dyDescent="0.2">
      <c r="A31">
        <v>500</v>
      </c>
      <c r="B31" t="s">
        <v>40</v>
      </c>
      <c r="C31">
        <v>8</v>
      </c>
      <c r="D31">
        <v>1570</v>
      </c>
      <c r="E31">
        <v>1.3311930000000001</v>
      </c>
      <c r="F31">
        <v>0.89330500000000002</v>
      </c>
      <c r="G31">
        <v>2.2544999999999999E-2</v>
      </c>
      <c r="H31">
        <v>2089.9722999999999</v>
      </c>
      <c r="I31">
        <v>1.290934</v>
      </c>
      <c r="J31">
        <v>0.52904700000000005</v>
      </c>
      <c r="K31">
        <v>1.3351999999999999E-2</v>
      </c>
      <c r="L31">
        <v>0.82085300000000005</v>
      </c>
      <c r="M31">
        <v>0.16648199999999999</v>
      </c>
      <c r="N31">
        <v>1.3351999999999999E-2</v>
      </c>
      <c r="O31">
        <v>10818.623423999999</v>
      </c>
      <c r="P31">
        <v>1867.4633100000001</v>
      </c>
      <c r="Q31">
        <v>47.130521999999999</v>
      </c>
      <c r="R31">
        <f xml:space="preserve"> AVERAGE(D27:D31)</f>
        <v>1547.2</v>
      </c>
      <c r="S31">
        <f t="shared" ref="S31:AE31" si="5" xml:space="preserve"> AVERAGE(E27:E31)</f>
        <v>1.3924356</v>
      </c>
      <c r="T31">
        <f t="shared" si="5"/>
        <v>0.92244499999999996</v>
      </c>
      <c r="U31">
        <f t="shared" si="5"/>
        <v>2.34516E-2</v>
      </c>
      <c r="V31">
        <f t="shared" si="5"/>
        <v>2154.5877599999999</v>
      </c>
      <c r="W31">
        <f t="shared" si="5"/>
        <v>1.2971743999999998</v>
      </c>
      <c r="X31">
        <f t="shared" si="5"/>
        <v>0.58582999999999996</v>
      </c>
      <c r="Y31">
        <f t="shared" si="5"/>
        <v>1.49E-2</v>
      </c>
      <c r="Z31">
        <f t="shared" si="5"/>
        <v>0.82012119999999999</v>
      </c>
      <c r="AA31">
        <f t="shared" si="5"/>
        <v>0.16858000000000001</v>
      </c>
      <c r="AB31">
        <f t="shared" si="5"/>
        <v>1.49E-2</v>
      </c>
      <c r="AC31">
        <f t="shared" si="5"/>
        <v>11158.6988418</v>
      </c>
      <c r="AD31">
        <f t="shared" si="5"/>
        <v>1862.2522415999999</v>
      </c>
      <c r="AE31">
        <f t="shared" si="5"/>
        <v>47.345264599999993</v>
      </c>
    </row>
    <row r="32" spans="1:31" x14ac:dyDescent="0.2">
      <c r="A32">
        <v>2000</v>
      </c>
      <c r="B32" t="s">
        <v>41</v>
      </c>
      <c r="C32">
        <v>8</v>
      </c>
      <c r="D32">
        <v>1342</v>
      </c>
      <c r="E32">
        <v>0.89464200000000005</v>
      </c>
      <c r="F32">
        <v>0.66960799999999998</v>
      </c>
      <c r="G32">
        <v>1.8279E-2</v>
      </c>
      <c r="H32">
        <v>1200.6098</v>
      </c>
      <c r="I32">
        <v>1.4640249999999999</v>
      </c>
      <c r="J32">
        <v>0.77920299999999998</v>
      </c>
      <c r="K32">
        <v>2.1270000000000001E-2</v>
      </c>
      <c r="L32">
        <v>0.80764400000000003</v>
      </c>
      <c r="M32">
        <v>0.175986</v>
      </c>
      <c r="N32">
        <v>2.1270000000000001E-2</v>
      </c>
      <c r="O32">
        <v>8539.3856840000008</v>
      </c>
      <c r="P32">
        <v>1395.1500619999999</v>
      </c>
      <c r="Q32">
        <v>38.084184999999998</v>
      </c>
    </row>
    <row r="33" spans="1:32" x14ac:dyDescent="0.2">
      <c r="A33">
        <v>2000</v>
      </c>
      <c r="B33" t="s">
        <v>42</v>
      </c>
      <c r="C33">
        <v>8</v>
      </c>
      <c r="D33">
        <v>1347</v>
      </c>
      <c r="E33">
        <v>0.891961</v>
      </c>
      <c r="F33">
        <v>0.63275899999999996</v>
      </c>
      <c r="G33">
        <v>1.7240999999999999E-2</v>
      </c>
      <c r="H33">
        <v>1201.4717000000001</v>
      </c>
      <c r="I33">
        <v>1.4476800000000001</v>
      </c>
      <c r="J33">
        <v>0.73785900000000004</v>
      </c>
      <c r="K33">
        <v>2.0104E-2</v>
      </c>
      <c r="L33">
        <v>0.82599199999999995</v>
      </c>
      <c r="M33">
        <v>0.16999700000000001</v>
      </c>
      <c r="N33">
        <v>2.0104E-2</v>
      </c>
      <c r="O33">
        <v>8575.0700699999998</v>
      </c>
      <c r="P33">
        <v>1368.804492</v>
      </c>
      <c r="Q33">
        <v>37.295602000000002</v>
      </c>
    </row>
    <row r="34" spans="1:32" x14ac:dyDescent="0.2">
      <c r="A34">
        <v>2000</v>
      </c>
      <c r="B34" t="s">
        <v>43</v>
      </c>
      <c r="C34">
        <v>8</v>
      </c>
      <c r="D34">
        <v>1388</v>
      </c>
      <c r="E34">
        <v>0.87832500000000002</v>
      </c>
      <c r="F34">
        <v>0.622668</v>
      </c>
      <c r="G34">
        <v>1.6712999999999999E-2</v>
      </c>
      <c r="H34">
        <v>1219.1152999999999</v>
      </c>
      <c r="I34">
        <v>1.4356249999999999</v>
      </c>
      <c r="J34">
        <v>0.65786100000000003</v>
      </c>
      <c r="K34">
        <v>1.7658E-2</v>
      </c>
      <c r="L34">
        <v>0.82110399999999995</v>
      </c>
      <c r="M34">
        <v>0.17083499999999999</v>
      </c>
      <c r="N34">
        <v>1.7658E-2</v>
      </c>
      <c r="O34">
        <v>8459.8334109999996</v>
      </c>
      <c r="P34">
        <v>1415.0665220000001</v>
      </c>
      <c r="Q34">
        <v>37.982376000000002</v>
      </c>
    </row>
    <row r="35" spans="1:32" x14ac:dyDescent="0.2">
      <c r="A35">
        <v>2000</v>
      </c>
      <c r="B35" t="s">
        <v>44</v>
      </c>
      <c r="C35">
        <v>8</v>
      </c>
      <c r="D35">
        <v>1276</v>
      </c>
      <c r="E35">
        <v>0.88939599999999996</v>
      </c>
      <c r="F35">
        <v>0.60629100000000002</v>
      </c>
      <c r="G35">
        <v>1.6972999999999999E-2</v>
      </c>
      <c r="H35">
        <v>1134.8688</v>
      </c>
      <c r="I35">
        <v>1.414625</v>
      </c>
      <c r="J35">
        <v>0.62851500000000005</v>
      </c>
      <c r="K35">
        <v>1.7595E-2</v>
      </c>
      <c r="L35">
        <v>0.81971899999999998</v>
      </c>
      <c r="M35">
        <v>0.168017</v>
      </c>
      <c r="N35">
        <v>1.7595E-2</v>
      </c>
      <c r="O35">
        <v>7954.7922120000003</v>
      </c>
      <c r="P35">
        <v>1318.4365479999999</v>
      </c>
      <c r="Q35">
        <v>36.909137000000001</v>
      </c>
    </row>
    <row r="36" spans="1:32" x14ac:dyDescent="0.2">
      <c r="A36">
        <v>2000</v>
      </c>
      <c r="B36" t="s">
        <v>45</v>
      </c>
      <c r="C36">
        <v>8</v>
      </c>
      <c r="D36">
        <v>1310</v>
      </c>
      <c r="E36">
        <v>0.81993400000000005</v>
      </c>
      <c r="F36">
        <v>0.58667000000000002</v>
      </c>
      <c r="G36">
        <v>1.6209000000000001E-2</v>
      </c>
      <c r="H36">
        <v>1074.1133</v>
      </c>
      <c r="I36">
        <v>1.485393</v>
      </c>
      <c r="J36">
        <v>0.74862499999999998</v>
      </c>
      <c r="K36">
        <v>2.0684000000000001E-2</v>
      </c>
      <c r="L36">
        <v>0.81984500000000005</v>
      </c>
      <c r="M36">
        <v>0.17254</v>
      </c>
      <c r="N36">
        <v>2.0684000000000001E-2</v>
      </c>
      <c r="O36">
        <v>8201.3697240000001</v>
      </c>
      <c r="P36">
        <v>1465.752864</v>
      </c>
      <c r="Q36">
        <v>40.497210000000003</v>
      </c>
      <c r="R36">
        <f xml:space="preserve"> AVERAGE(D32:D36)</f>
        <v>1332.6</v>
      </c>
      <c r="S36">
        <f t="shared" ref="S36:AE36" si="6" xml:space="preserve"> AVERAGE(E32:E36)</f>
        <v>0.87485160000000006</v>
      </c>
      <c r="T36">
        <f t="shared" si="6"/>
        <v>0.62359919999999991</v>
      </c>
      <c r="U36">
        <f t="shared" si="6"/>
        <v>1.7082999999999997E-2</v>
      </c>
      <c r="V36">
        <f t="shared" si="6"/>
        <v>1166.0357799999999</v>
      </c>
      <c r="W36">
        <f t="shared" si="6"/>
        <v>1.4494696</v>
      </c>
      <c r="X36">
        <f t="shared" si="6"/>
        <v>0.71041260000000006</v>
      </c>
      <c r="Y36">
        <f t="shared" si="6"/>
        <v>1.9462200000000002E-2</v>
      </c>
      <c r="Z36">
        <f t="shared" si="6"/>
        <v>0.81886080000000006</v>
      </c>
      <c r="AA36">
        <f t="shared" si="6"/>
        <v>0.17147499999999999</v>
      </c>
      <c r="AB36">
        <f t="shared" si="6"/>
        <v>1.9462200000000002E-2</v>
      </c>
      <c r="AC36">
        <f t="shared" si="6"/>
        <v>8346.0902201999997</v>
      </c>
      <c r="AD36">
        <f t="shared" si="6"/>
        <v>1392.6420975999999</v>
      </c>
      <c r="AE36">
        <f t="shared" si="6"/>
        <v>38.153701999999996</v>
      </c>
    </row>
    <row r="37" spans="1:32" x14ac:dyDescent="0.2">
      <c r="A37">
        <v>4000</v>
      </c>
      <c r="B37" t="s">
        <v>16</v>
      </c>
      <c r="C37">
        <v>8</v>
      </c>
      <c r="D37">
        <v>737</v>
      </c>
      <c r="E37">
        <v>0.80134000000000005</v>
      </c>
      <c r="F37">
        <v>0.46899000000000002</v>
      </c>
      <c r="G37">
        <v>1.7274999999999999E-2</v>
      </c>
      <c r="H37">
        <v>590.5874</v>
      </c>
      <c r="I37">
        <v>1.4417359999999999</v>
      </c>
      <c r="J37">
        <v>0.59184000000000003</v>
      </c>
      <c r="K37">
        <v>2.1801000000000001E-2</v>
      </c>
      <c r="L37">
        <v>0.85400799999999999</v>
      </c>
      <c r="M37">
        <v>0.13695599999999999</v>
      </c>
      <c r="N37">
        <v>2.1801000000000001E-2</v>
      </c>
      <c r="O37">
        <v>8727.295607</v>
      </c>
      <c r="P37">
        <v>1405.843869</v>
      </c>
      <c r="Q37">
        <v>51.784923999999997</v>
      </c>
    </row>
    <row r="38" spans="1:32" x14ac:dyDescent="0.2">
      <c r="A38">
        <v>4000</v>
      </c>
      <c r="B38" t="s">
        <v>17</v>
      </c>
      <c r="C38">
        <v>8</v>
      </c>
      <c r="D38">
        <v>706</v>
      </c>
      <c r="E38">
        <v>0.79444400000000004</v>
      </c>
      <c r="F38">
        <v>0.47089399999999998</v>
      </c>
      <c r="G38">
        <v>1.7722000000000002E-2</v>
      </c>
      <c r="H38">
        <v>560.87720000000002</v>
      </c>
      <c r="I38">
        <v>1.4421170000000001</v>
      </c>
      <c r="J38">
        <v>0.54295400000000005</v>
      </c>
      <c r="K38">
        <v>2.0434000000000001E-2</v>
      </c>
      <c r="L38">
        <v>0.85505500000000001</v>
      </c>
      <c r="M38">
        <v>0.13972399999999999</v>
      </c>
      <c r="N38">
        <v>2.0434000000000001E-2</v>
      </c>
      <c r="O38">
        <v>7574.5849449999996</v>
      </c>
      <c r="P38">
        <v>1184.003622</v>
      </c>
      <c r="Q38">
        <v>44.560563999999999</v>
      </c>
    </row>
    <row r="39" spans="1:32" x14ac:dyDescent="0.2">
      <c r="A39">
        <v>4000</v>
      </c>
      <c r="B39" t="s">
        <v>18</v>
      </c>
      <c r="C39">
        <v>8</v>
      </c>
      <c r="D39">
        <v>755</v>
      </c>
      <c r="E39">
        <v>0.81081899999999996</v>
      </c>
      <c r="F39">
        <v>0.4904</v>
      </c>
      <c r="G39">
        <v>1.7846999999999998E-2</v>
      </c>
      <c r="H39">
        <v>612.16869999999994</v>
      </c>
      <c r="I39">
        <v>1.467071</v>
      </c>
      <c r="J39">
        <v>0.69619900000000001</v>
      </c>
      <c r="K39">
        <v>2.5336999999999998E-2</v>
      </c>
      <c r="L39">
        <v>0.85187800000000002</v>
      </c>
      <c r="M39">
        <v>0.13681399999999999</v>
      </c>
      <c r="N39">
        <v>2.5336999999999998E-2</v>
      </c>
      <c r="O39">
        <v>7923.8095149999999</v>
      </c>
      <c r="P39">
        <v>1257.855953</v>
      </c>
      <c r="Q39">
        <v>45.778064999999998</v>
      </c>
    </row>
    <row r="40" spans="1:32" x14ac:dyDescent="0.2">
      <c r="A40">
        <v>4000</v>
      </c>
      <c r="B40" t="s">
        <v>19</v>
      </c>
      <c r="C40">
        <v>8</v>
      </c>
      <c r="D40">
        <v>744</v>
      </c>
      <c r="E40">
        <v>0.71547899999999998</v>
      </c>
      <c r="F40">
        <v>0.51625200000000004</v>
      </c>
      <c r="G40">
        <v>1.8926999999999999E-2</v>
      </c>
      <c r="H40">
        <v>532.31619999999998</v>
      </c>
      <c r="I40">
        <v>1.475962</v>
      </c>
      <c r="J40">
        <v>0.56852899999999995</v>
      </c>
      <c r="K40">
        <v>2.0843E-2</v>
      </c>
      <c r="L40">
        <v>0.85776200000000002</v>
      </c>
      <c r="M40">
        <v>0.143373</v>
      </c>
      <c r="N40">
        <v>2.0843E-2</v>
      </c>
      <c r="O40">
        <v>7223.0635860000002</v>
      </c>
      <c r="P40">
        <v>2211.70514</v>
      </c>
      <c r="Q40">
        <v>81.085044999999994</v>
      </c>
    </row>
    <row r="41" spans="1:32" x14ac:dyDescent="0.2">
      <c r="A41">
        <v>4000</v>
      </c>
      <c r="B41" t="s">
        <v>20</v>
      </c>
      <c r="C41">
        <v>8</v>
      </c>
      <c r="D41">
        <v>776</v>
      </c>
      <c r="E41">
        <v>0.84556600000000004</v>
      </c>
      <c r="F41">
        <v>0.49987100000000001</v>
      </c>
      <c r="G41">
        <v>1.7944000000000002E-2</v>
      </c>
      <c r="H41">
        <v>656.15940000000001</v>
      </c>
      <c r="I41">
        <v>1.413613</v>
      </c>
      <c r="J41">
        <v>0.52939400000000003</v>
      </c>
      <c r="K41">
        <v>1.9004E-2</v>
      </c>
      <c r="L41">
        <v>0.85475599999999996</v>
      </c>
      <c r="M41">
        <v>0.142813</v>
      </c>
      <c r="N41">
        <v>1.9004E-2</v>
      </c>
      <c r="O41">
        <v>6863.7449960000004</v>
      </c>
      <c r="P41">
        <v>1170.898418</v>
      </c>
      <c r="Q41">
        <v>42.032803999999999</v>
      </c>
      <c r="R41">
        <f xml:space="preserve"> AVERAGE(D37:D41)</f>
        <v>743.6</v>
      </c>
      <c r="S41">
        <f t="shared" ref="S41:AE41" si="7" xml:space="preserve"> AVERAGE(E37:E41)</f>
        <v>0.79352959999999995</v>
      </c>
      <c r="T41">
        <f t="shared" si="7"/>
        <v>0.48928140000000003</v>
      </c>
      <c r="U41">
        <f t="shared" si="7"/>
        <v>1.7943000000000001E-2</v>
      </c>
      <c r="V41">
        <f t="shared" si="7"/>
        <v>590.4217799999999</v>
      </c>
      <c r="W41">
        <f t="shared" si="7"/>
        <v>1.4480998</v>
      </c>
      <c r="X41">
        <f t="shared" si="7"/>
        <v>0.58578320000000006</v>
      </c>
      <c r="Y41">
        <f t="shared" si="7"/>
        <v>2.1483799999999997E-2</v>
      </c>
      <c r="Z41">
        <f t="shared" si="7"/>
        <v>0.8546918</v>
      </c>
      <c r="AA41">
        <f t="shared" si="7"/>
        <v>0.139936</v>
      </c>
      <c r="AB41">
        <f t="shared" si="7"/>
        <v>2.1483799999999997E-2</v>
      </c>
      <c r="AC41">
        <f t="shared" si="7"/>
        <v>7662.4997297999998</v>
      </c>
      <c r="AD41">
        <f t="shared" si="7"/>
        <v>1446.0614003999999</v>
      </c>
      <c r="AE41">
        <f t="shared" si="7"/>
        <v>53.048280399999996</v>
      </c>
    </row>
    <row r="46" spans="1:32" x14ac:dyDescent="0.2">
      <c r="Q46" t="s">
        <v>54</v>
      </c>
      <c r="R46" t="s">
        <v>2</v>
      </c>
      <c r="S46" t="s">
        <v>55</v>
      </c>
      <c r="T46" t="s">
        <v>3</v>
      </c>
      <c r="U46" t="s">
        <v>4</v>
      </c>
      <c r="V46" t="s">
        <v>5</v>
      </c>
      <c r="W46" t="s">
        <v>6</v>
      </c>
      <c r="X46" t="s">
        <v>7</v>
      </c>
      <c r="Y46" t="s">
        <v>8</v>
      </c>
      <c r="Z46" t="s">
        <v>9</v>
      </c>
      <c r="AA46" t="s">
        <v>10</v>
      </c>
      <c r="AB46" t="s">
        <v>11</v>
      </c>
      <c r="AC46" t="s">
        <v>12</v>
      </c>
      <c r="AD46" t="s">
        <v>13</v>
      </c>
      <c r="AE46" t="s">
        <v>14</v>
      </c>
      <c r="AF46" t="s">
        <v>15</v>
      </c>
    </row>
    <row r="47" spans="1:32" x14ac:dyDescent="0.2">
      <c r="Q47">
        <v>1</v>
      </c>
      <c r="R47">
        <v>666.6</v>
      </c>
      <c r="S47">
        <f xml:space="preserve"> (STDEV(D2:D6)/(SQRT(5)))</f>
        <v>12.188519188154073</v>
      </c>
      <c r="T47">
        <v>3.6035719999999998</v>
      </c>
      <c r="U47">
        <v>2.7091501999999998</v>
      </c>
      <c r="V47">
        <v>0.10492699999999999</v>
      </c>
      <c r="W47">
        <v>2403.1394399999999</v>
      </c>
      <c r="X47">
        <v>1.1500424000000002</v>
      </c>
      <c r="Y47">
        <v>0.42985860000000004</v>
      </c>
      <c r="Z47">
        <v>1.6661799999999997E-2</v>
      </c>
      <c r="AA47">
        <v>0.83183540000000011</v>
      </c>
      <c r="AB47">
        <v>0.14299040000000002</v>
      </c>
      <c r="AC47">
        <v>1.6661799999999997E-2</v>
      </c>
      <c r="AD47">
        <v>24564.784070600002</v>
      </c>
      <c r="AE47">
        <v>7132.3923726000012</v>
      </c>
      <c r="AF47">
        <v>276.39453779999997</v>
      </c>
    </row>
    <row r="48" spans="1:32" x14ac:dyDescent="0.2">
      <c r="Q48">
        <v>25</v>
      </c>
      <c r="R48">
        <v>743.6</v>
      </c>
      <c r="S48">
        <f xml:space="preserve"> (STDEV(D7:D11)/(SQRT(5)))</f>
        <v>11.483030958766941</v>
      </c>
      <c r="T48">
        <v>0.79352959999999995</v>
      </c>
      <c r="U48">
        <v>0.48928140000000003</v>
      </c>
      <c r="V48">
        <v>1.7943000000000001E-2</v>
      </c>
      <c r="W48">
        <v>590.4217799999999</v>
      </c>
      <c r="X48">
        <v>1.4480998</v>
      </c>
      <c r="Y48">
        <v>0.58578320000000006</v>
      </c>
      <c r="Z48">
        <v>2.1483799999999997E-2</v>
      </c>
      <c r="AA48">
        <v>0.8546918</v>
      </c>
      <c r="AB48">
        <v>0.139936</v>
      </c>
      <c r="AC48">
        <v>2.1483799999999997E-2</v>
      </c>
      <c r="AD48">
        <v>7662.4997297999998</v>
      </c>
      <c r="AE48">
        <v>1446.0614003999999</v>
      </c>
      <c r="AF48">
        <v>53.048280399999996</v>
      </c>
    </row>
    <row r="49" spans="12:32" x14ac:dyDescent="0.2">
      <c r="Q49">
        <v>50</v>
      </c>
      <c r="R49">
        <v>996.8</v>
      </c>
      <c r="S49">
        <f xml:space="preserve"> (STDEV(D12:D16)/(SQRT(5)))</f>
        <v>5.8855755878248637</v>
      </c>
      <c r="T49">
        <v>2.7394925999999997</v>
      </c>
      <c r="U49">
        <v>1.7675813999999999</v>
      </c>
      <c r="V49">
        <v>5.5982799999999999E-2</v>
      </c>
      <c r="W49">
        <v>2731.1380199999999</v>
      </c>
      <c r="X49">
        <v>1.1853256000000001</v>
      </c>
      <c r="Y49">
        <v>0.40214319999999998</v>
      </c>
      <c r="Z49">
        <v>1.2741400000000003E-2</v>
      </c>
      <c r="AA49">
        <v>0.8599772</v>
      </c>
      <c r="AB49">
        <v>0.13130239999999999</v>
      </c>
      <c r="AC49">
        <v>1.2741400000000003E-2</v>
      </c>
      <c r="AD49">
        <v>18214.429055599998</v>
      </c>
      <c r="AE49">
        <v>3557.9371507999995</v>
      </c>
      <c r="AF49">
        <v>112.7026114</v>
      </c>
    </row>
    <row r="50" spans="12:32" x14ac:dyDescent="0.2">
      <c r="Q50">
        <v>100</v>
      </c>
      <c r="R50">
        <v>894.2</v>
      </c>
      <c r="S50">
        <f xml:space="preserve"> (STDEV(D17:D21)/(SQRT(5)))</f>
        <v>12.121881042148532</v>
      </c>
      <c r="T50">
        <v>2.4284910000000002</v>
      </c>
      <c r="U50">
        <v>1.4378598</v>
      </c>
      <c r="V50">
        <v>4.8098399999999999E-2</v>
      </c>
      <c r="W50">
        <v>2171.3829799999999</v>
      </c>
      <c r="X50">
        <v>1.1975694000000001</v>
      </c>
      <c r="Y50">
        <v>0.36840259999999997</v>
      </c>
      <c r="Z50">
        <v>1.2338E-2</v>
      </c>
      <c r="AA50">
        <v>0.87721739999999992</v>
      </c>
      <c r="AB50">
        <v>0.12528800000000001</v>
      </c>
      <c r="AC50">
        <v>1.2338E-2</v>
      </c>
      <c r="AD50">
        <v>15029.098575</v>
      </c>
      <c r="AE50">
        <v>3100.1886666</v>
      </c>
      <c r="AF50">
        <v>103.6759668</v>
      </c>
    </row>
    <row r="51" spans="12:32" x14ac:dyDescent="0.2">
      <c r="Q51">
        <v>250</v>
      </c>
      <c r="R51">
        <v>1429.6</v>
      </c>
      <c r="S51">
        <f xml:space="preserve"> (STDEV(D22:D26)/(SQRT(5)))</f>
        <v>15.435672968808325</v>
      </c>
      <c r="T51">
        <v>1.5542058000000001</v>
      </c>
      <c r="U51">
        <v>1.04772</v>
      </c>
      <c r="V51">
        <v>2.7708199999999999E-2</v>
      </c>
      <c r="W51">
        <v>2222.94488</v>
      </c>
      <c r="X51">
        <v>1.2857556000000001</v>
      </c>
      <c r="Y51">
        <v>0.57832400000000006</v>
      </c>
      <c r="Z51">
        <v>1.5295E-2</v>
      </c>
      <c r="AA51">
        <v>0.82733199999999996</v>
      </c>
      <c r="AB51">
        <v>0.16145199999999998</v>
      </c>
      <c r="AC51">
        <v>1.5295E-2</v>
      </c>
      <c r="AD51">
        <v>13484.959201399999</v>
      </c>
      <c r="AE51">
        <v>2303.8592338000003</v>
      </c>
      <c r="AF51">
        <v>60.924565200000004</v>
      </c>
    </row>
    <row r="52" spans="12:32" x14ac:dyDescent="0.2">
      <c r="Q52">
        <v>500</v>
      </c>
      <c r="R52">
        <v>1547.2</v>
      </c>
      <c r="S52">
        <f xml:space="preserve"> (STDEV(D27:D31)/(SQRT(5)))</f>
        <v>10.190191362285596</v>
      </c>
      <c r="T52">
        <v>1.3924356</v>
      </c>
      <c r="U52">
        <v>0.92244499999999996</v>
      </c>
      <c r="V52">
        <v>2.34516E-2</v>
      </c>
      <c r="W52">
        <v>2154.5877599999999</v>
      </c>
      <c r="X52">
        <v>1.2971743999999998</v>
      </c>
      <c r="Y52">
        <v>0.58582999999999996</v>
      </c>
      <c r="Z52">
        <v>1.49E-2</v>
      </c>
      <c r="AA52">
        <v>0.82012119999999999</v>
      </c>
      <c r="AB52">
        <v>0.16858000000000001</v>
      </c>
      <c r="AC52">
        <v>1.49E-2</v>
      </c>
      <c r="AD52">
        <v>11158.6988418</v>
      </c>
      <c r="AE52">
        <v>1862.2522415999999</v>
      </c>
      <c r="AF52">
        <v>47.345264599999993</v>
      </c>
    </row>
    <row r="53" spans="12:32" x14ac:dyDescent="0.2">
      <c r="Q53">
        <v>2000</v>
      </c>
      <c r="R53">
        <v>1332.6</v>
      </c>
      <c r="S53">
        <f xml:space="preserve"> (STDEV(D32:D36)/(SQRT(5)))</f>
        <v>18.813824704190264</v>
      </c>
      <c r="T53">
        <v>0.87485160000000006</v>
      </c>
      <c r="U53">
        <v>0.62359919999999991</v>
      </c>
      <c r="V53">
        <v>1.7082999999999997E-2</v>
      </c>
      <c r="W53">
        <v>1166.0357799999999</v>
      </c>
      <c r="X53">
        <v>1.4494696</v>
      </c>
      <c r="Y53">
        <v>0.71041260000000006</v>
      </c>
      <c r="Z53">
        <v>1.9462200000000002E-2</v>
      </c>
      <c r="AA53">
        <v>0.81886080000000006</v>
      </c>
      <c r="AB53">
        <v>0.17147499999999999</v>
      </c>
      <c r="AC53">
        <v>1.9462200000000002E-2</v>
      </c>
      <c r="AD53">
        <v>8346.0902201999997</v>
      </c>
      <c r="AE53">
        <v>1392.6420975999999</v>
      </c>
      <c r="AF53">
        <v>38.153701999999996</v>
      </c>
    </row>
    <row r="54" spans="12:32" x14ac:dyDescent="0.2">
      <c r="Q54">
        <v>4000</v>
      </c>
      <c r="R54">
        <v>743.6</v>
      </c>
      <c r="S54">
        <f xml:space="preserve"> (STDEV(D37:D41)/(SQRT(5)))</f>
        <v>11.483030958766941</v>
      </c>
      <c r="T54">
        <v>0.79352959999999995</v>
      </c>
      <c r="U54">
        <v>0.48928140000000003</v>
      </c>
      <c r="V54">
        <v>1.7943000000000001E-2</v>
      </c>
      <c r="W54">
        <v>590.4217799999999</v>
      </c>
      <c r="X54">
        <v>1.4480998</v>
      </c>
      <c r="Y54">
        <v>0.58578320000000006</v>
      </c>
      <c r="Z54">
        <v>2.1483799999999997E-2</v>
      </c>
      <c r="AA54">
        <v>0.8546918</v>
      </c>
      <c r="AB54">
        <v>0.139936</v>
      </c>
      <c r="AC54">
        <v>2.1483799999999997E-2</v>
      </c>
      <c r="AD54">
        <v>7662.4997297999998</v>
      </c>
      <c r="AE54">
        <v>1446.0614003999999</v>
      </c>
      <c r="AF54">
        <v>53.048280399999996</v>
      </c>
    </row>
    <row r="61" spans="12:32" x14ac:dyDescent="0.2">
      <c r="L61" t="s">
        <v>54</v>
      </c>
      <c r="M61" t="s">
        <v>51</v>
      </c>
      <c r="N61" t="s">
        <v>53</v>
      </c>
      <c r="O61" t="s">
        <v>58</v>
      </c>
      <c r="P61" t="s">
        <v>52</v>
      </c>
      <c r="Q61" t="s">
        <v>56</v>
      </c>
      <c r="R61" t="s">
        <v>57</v>
      </c>
    </row>
    <row r="62" spans="12:32" x14ac:dyDescent="0.2">
      <c r="L62">
        <v>0</v>
      </c>
      <c r="M62">
        <v>658</v>
      </c>
      <c r="N62">
        <v>674</v>
      </c>
      <c r="O62">
        <v>3.413081</v>
      </c>
      <c r="P62">
        <v>3.319922</v>
      </c>
      <c r="Q62">
        <v>2237.6275999999998</v>
      </c>
      <c r="R62">
        <v>2245.8072000000002</v>
      </c>
      <c r="S62">
        <f xml:space="preserve"> AVERAGE(M62:N66)</f>
        <v>677.7</v>
      </c>
      <c r="T62">
        <f xml:space="preserve"> AVERAGE(O62:P66)</f>
        <v>3.5589154999999999</v>
      </c>
      <c r="U62">
        <f xml:space="preserve"> AVERAGE(Q62:R66)</f>
        <v>2412.6744199999994</v>
      </c>
      <c r="V62">
        <f>(STDEV(M62:N66)/SQRT(10))</f>
        <v>9.1470092258496045</v>
      </c>
      <c r="W62">
        <f>(STDEV(O62:P66)/SQRT(10))</f>
        <v>4.3002348219409285E-2</v>
      </c>
      <c r="X62">
        <f>(STDEV(Q62:R66)/SQRT(10))</f>
        <v>48.400728294136712</v>
      </c>
    </row>
    <row r="63" spans="12:32" x14ac:dyDescent="0.2">
      <c r="L63">
        <v>0</v>
      </c>
      <c r="M63">
        <v>660</v>
      </c>
      <c r="N63">
        <v>620</v>
      </c>
      <c r="O63">
        <v>3.4868540000000001</v>
      </c>
      <c r="P63">
        <v>3.5681620000000001</v>
      </c>
      <c r="Q63">
        <v>2212.2606999999998</v>
      </c>
      <c r="R63">
        <v>2301.3236999999999</v>
      </c>
    </row>
    <row r="64" spans="12:32" x14ac:dyDescent="0.2">
      <c r="L64">
        <v>0</v>
      </c>
      <c r="M64">
        <v>695</v>
      </c>
      <c r="N64">
        <v>672</v>
      </c>
      <c r="O64">
        <v>3.4932660000000002</v>
      </c>
      <c r="P64">
        <v>3.6482619999999999</v>
      </c>
      <c r="Q64">
        <v>2451.6323000000002</v>
      </c>
      <c r="R64">
        <v>2427.8202000000001</v>
      </c>
    </row>
    <row r="65" spans="12:24" x14ac:dyDescent="0.2">
      <c r="L65">
        <v>0</v>
      </c>
      <c r="M65">
        <v>709</v>
      </c>
      <c r="N65">
        <v>692</v>
      </c>
      <c r="O65">
        <v>3.5760299999999998</v>
      </c>
      <c r="P65">
        <v>3.7738040000000002</v>
      </c>
      <c r="Q65">
        <v>2611.4724999999999</v>
      </c>
      <c r="R65">
        <v>2535.4056</v>
      </c>
    </row>
    <row r="66" spans="12:24" x14ac:dyDescent="0.2">
      <c r="L66">
        <v>0</v>
      </c>
      <c r="M66">
        <v>722</v>
      </c>
      <c r="N66">
        <v>675</v>
      </c>
      <c r="O66">
        <v>3.6020639999999999</v>
      </c>
      <c r="P66">
        <v>3.7077100000000001</v>
      </c>
      <c r="Q66">
        <v>2502.7040999999999</v>
      </c>
      <c r="R66">
        <v>2600.6903000000002</v>
      </c>
    </row>
    <row r="67" spans="12:24" x14ac:dyDescent="0.2">
      <c r="L67">
        <v>25</v>
      </c>
      <c r="M67">
        <v>686</v>
      </c>
      <c r="N67">
        <v>737</v>
      </c>
      <c r="O67">
        <v>3.4752160000000001</v>
      </c>
      <c r="P67">
        <v>0.80134000000000005</v>
      </c>
      <c r="Q67">
        <v>590.5874</v>
      </c>
      <c r="R67">
        <v>2383.9985000000001</v>
      </c>
      <c r="S67">
        <f xml:space="preserve"> AVERAGE(M67:N71)</f>
        <v>697.6</v>
      </c>
      <c r="T67">
        <f xml:space="preserve"> AVERAGE(O67:P71)</f>
        <v>2.0734757999999998</v>
      </c>
      <c r="U67">
        <f xml:space="preserve"> AVERAGE(Q67:R71)</f>
        <v>1388.3671099999997</v>
      </c>
      <c r="V67">
        <f>(STDEV(M67:N71)/SQRT(10))</f>
        <v>17.575993728821011</v>
      </c>
      <c r="W67">
        <f>(STDEV(O67:P71)/SQRT(10))</f>
        <v>0.42720106618925924</v>
      </c>
      <c r="X67">
        <f>(STDEV(Q67:R71)/SQRT(10))</f>
        <v>267.99078130056324</v>
      </c>
    </row>
    <row r="68" spans="12:24" x14ac:dyDescent="0.2">
      <c r="L68">
        <v>25</v>
      </c>
      <c r="M68">
        <v>672</v>
      </c>
      <c r="N68">
        <v>706</v>
      </c>
      <c r="O68">
        <v>3.4006219999999998</v>
      </c>
      <c r="P68">
        <v>0.79444400000000004</v>
      </c>
      <c r="Q68">
        <v>560.87720000000002</v>
      </c>
      <c r="R68">
        <v>2285.2179999999998</v>
      </c>
    </row>
    <row r="69" spans="12:24" x14ac:dyDescent="0.2">
      <c r="L69">
        <v>25</v>
      </c>
      <c r="M69">
        <v>652</v>
      </c>
      <c r="N69">
        <v>755</v>
      </c>
      <c r="O69">
        <v>3.3070349999999999</v>
      </c>
      <c r="P69">
        <v>0.81081899999999996</v>
      </c>
      <c r="Q69">
        <v>612.16869999999994</v>
      </c>
      <c r="R69">
        <v>2156.1864999999998</v>
      </c>
    </row>
    <row r="70" spans="12:24" x14ac:dyDescent="0.2">
      <c r="L70">
        <v>25</v>
      </c>
      <c r="M70">
        <v>645</v>
      </c>
      <c r="N70">
        <v>744</v>
      </c>
      <c r="O70">
        <v>3.2348699999999999</v>
      </c>
      <c r="P70">
        <v>0.71547899999999998</v>
      </c>
      <c r="Q70">
        <v>532.31619999999998</v>
      </c>
      <c r="R70">
        <v>2086.4908999999998</v>
      </c>
    </row>
    <row r="71" spans="12:24" x14ac:dyDescent="0.2">
      <c r="L71">
        <v>25</v>
      </c>
      <c r="M71">
        <v>603</v>
      </c>
      <c r="N71">
        <v>776</v>
      </c>
      <c r="O71">
        <v>3.349367</v>
      </c>
      <c r="P71">
        <v>0.84556600000000004</v>
      </c>
      <c r="Q71">
        <v>656.15940000000001</v>
      </c>
      <c r="R71">
        <v>2019.6683</v>
      </c>
    </row>
    <row r="72" spans="12:24" x14ac:dyDescent="0.2">
      <c r="L72">
        <v>50</v>
      </c>
      <c r="M72">
        <v>643</v>
      </c>
      <c r="N72">
        <v>984</v>
      </c>
      <c r="O72">
        <v>4.0596800000000002</v>
      </c>
      <c r="P72">
        <v>2.6469969999999998</v>
      </c>
      <c r="Q72">
        <v>2604.6448999999998</v>
      </c>
      <c r="R72">
        <v>2610.3739999999998</v>
      </c>
      <c r="S72">
        <f xml:space="preserve"> AVERAGE(M72:N76)</f>
        <v>809.9</v>
      </c>
      <c r="T72">
        <f xml:space="preserve"> AVERAGE(O72:P76)</f>
        <v>3.4606685999999995</v>
      </c>
      <c r="U72">
        <f xml:space="preserve"> AVERAGE(Q72:R76)</f>
        <v>2666.5563599999996</v>
      </c>
      <c r="V72">
        <f>(STDEV(M72:N76)/SQRT(10))</f>
        <v>62.638903424487133</v>
      </c>
      <c r="W72">
        <f>(STDEV(O72:P76)/SQRT(10))</f>
        <v>0.2435588227147244</v>
      </c>
      <c r="X72">
        <f>(STDEV(Q72:R76)/SQRT(10))</f>
        <v>34.809217099067943</v>
      </c>
    </row>
    <row r="73" spans="12:24" x14ac:dyDescent="0.2">
      <c r="L73">
        <v>50</v>
      </c>
      <c r="M73">
        <v>641</v>
      </c>
      <c r="N73">
        <v>998</v>
      </c>
      <c r="O73">
        <v>4.1060939999999997</v>
      </c>
      <c r="P73">
        <v>2.6492360000000001</v>
      </c>
      <c r="Q73">
        <v>2643.9373999999998</v>
      </c>
      <c r="R73">
        <v>2632.0059999999999</v>
      </c>
    </row>
    <row r="74" spans="12:24" x14ac:dyDescent="0.2">
      <c r="L74">
        <v>50</v>
      </c>
      <c r="M74">
        <v>646</v>
      </c>
      <c r="N74">
        <v>996</v>
      </c>
      <c r="O74">
        <v>4.0549010000000001</v>
      </c>
      <c r="P74">
        <v>2.687592</v>
      </c>
      <c r="Q74">
        <v>2676.8416999999999</v>
      </c>
      <c r="R74">
        <v>2619.4661999999998</v>
      </c>
    </row>
    <row r="75" spans="12:24" x14ac:dyDescent="0.2">
      <c r="L75">
        <v>50</v>
      </c>
      <c r="M75">
        <v>591</v>
      </c>
      <c r="N75">
        <v>1018</v>
      </c>
      <c r="O75">
        <v>4.3233119999999996</v>
      </c>
      <c r="P75">
        <v>2.839731</v>
      </c>
      <c r="Q75">
        <v>2890.8463999999999</v>
      </c>
      <c r="R75">
        <v>2555.0772000000002</v>
      </c>
    </row>
    <row r="76" spans="12:24" x14ac:dyDescent="0.2">
      <c r="L76">
        <v>50</v>
      </c>
      <c r="M76">
        <v>594</v>
      </c>
      <c r="N76">
        <v>988</v>
      </c>
      <c r="O76">
        <v>4.3652360000000003</v>
      </c>
      <c r="P76">
        <v>2.873907</v>
      </c>
      <c r="Q76">
        <v>2839.4196999999999</v>
      </c>
      <c r="R76">
        <v>2592.9501</v>
      </c>
    </row>
    <row r="77" spans="12:24" x14ac:dyDescent="0.2">
      <c r="L77">
        <v>100</v>
      </c>
      <c r="M77">
        <v>623</v>
      </c>
      <c r="N77">
        <v>887</v>
      </c>
      <c r="O77">
        <v>4.0479159999999998</v>
      </c>
      <c r="P77">
        <v>2.4452600000000002</v>
      </c>
      <c r="Q77">
        <v>2168.9459999999999</v>
      </c>
      <c r="R77">
        <v>2521.8517999999999</v>
      </c>
      <c r="S77">
        <f xml:space="preserve"> AVERAGE(M77:N81)</f>
        <v>684.3</v>
      </c>
      <c r="T77">
        <f xml:space="preserve"> AVERAGE(O77:P81)</f>
        <v>3.0763344999999997</v>
      </c>
      <c r="U77">
        <f xml:space="preserve"> AVERAGE(Q77:R81)</f>
        <v>1978.7753700000001</v>
      </c>
      <c r="V77">
        <f>(STDEV(M77:N81)/SQRT(10))</f>
        <v>73.688993599979185</v>
      </c>
      <c r="W77">
        <f>(STDEV(O77:P81)/SQRT(10))</f>
        <v>0.22215881265733423</v>
      </c>
      <c r="X77">
        <f>(STDEV(Q77:R81)/SQRT(10))</f>
        <v>127.52085923937572</v>
      </c>
    </row>
    <row r="78" spans="12:24" x14ac:dyDescent="0.2">
      <c r="L78">
        <v>100</v>
      </c>
      <c r="M78">
        <v>535</v>
      </c>
      <c r="N78">
        <v>902</v>
      </c>
      <c r="O78">
        <v>3.8951500000000001</v>
      </c>
      <c r="P78">
        <v>2.5014059999999998</v>
      </c>
      <c r="Q78">
        <v>2256.2683000000002</v>
      </c>
      <c r="R78">
        <v>2083.9052000000001</v>
      </c>
    </row>
    <row r="79" spans="12:24" x14ac:dyDescent="0.2">
      <c r="L79">
        <v>100</v>
      </c>
      <c r="M79">
        <v>461</v>
      </c>
      <c r="N79">
        <v>930</v>
      </c>
      <c r="O79">
        <v>3.6143999999999998</v>
      </c>
      <c r="P79">
        <v>2.4324189999999999</v>
      </c>
      <c r="Q79">
        <v>2262.1495</v>
      </c>
      <c r="R79">
        <v>1666.2385999999999</v>
      </c>
    </row>
    <row r="80" spans="12:24" x14ac:dyDescent="0.2">
      <c r="L80">
        <v>100</v>
      </c>
      <c r="M80">
        <v>383</v>
      </c>
      <c r="N80">
        <v>897</v>
      </c>
      <c r="O80">
        <v>3.4904899999999999</v>
      </c>
      <c r="P80">
        <v>2.3064260000000001</v>
      </c>
      <c r="Q80">
        <v>2068.8642</v>
      </c>
      <c r="R80">
        <v>1336.8576</v>
      </c>
    </row>
    <row r="81" spans="12:24" x14ac:dyDescent="0.2">
      <c r="L81">
        <v>100</v>
      </c>
      <c r="M81">
        <v>370</v>
      </c>
      <c r="N81">
        <v>855</v>
      </c>
      <c r="O81">
        <v>3.5729340000000001</v>
      </c>
      <c r="P81">
        <v>2.456944</v>
      </c>
      <c r="Q81">
        <v>2100.6869000000002</v>
      </c>
      <c r="R81">
        <v>1321.9856</v>
      </c>
    </row>
    <row r="82" spans="12:24" x14ac:dyDescent="0.2">
      <c r="L82">
        <v>250</v>
      </c>
      <c r="M82">
        <v>744</v>
      </c>
      <c r="N82">
        <v>1427</v>
      </c>
      <c r="O82">
        <v>2.6392389999999999</v>
      </c>
      <c r="P82">
        <v>1.51766</v>
      </c>
      <c r="Q82">
        <v>2165.7012</v>
      </c>
      <c r="R82">
        <v>1963.5941</v>
      </c>
      <c r="S82">
        <f xml:space="preserve"> AVERAGE(M82:N86)</f>
        <v>1132.2</v>
      </c>
      <c r="T82">
        <f xml:space="preserve"> AVERAGE(O82:P86)</f>
        <v>2.0850245999999997</v>
      </c>
      <c r="U82">
        <f xml:space="preserve"> AVERAGE(Q82:R86)</f>
        <v>2202.7781100000002</v>
      </c>
      <c r="V82">
        <f>(STDEV(M82:N86)/SQRT(10))</f>
        <v>100.14498378739582</v>
      </c>
      <c r="W82">
        <f>(STDEV(O82:P86)/SQRT(10))</f>
        <v>0.17740978397485446</v>
      </c>
      <c r="X82">
        <f>(STDEV(Q82:R86)/SQRT(10))</f>
        <v>38.109846363072478</v>
      </c>
    </row>
    <row r="83" spans="12:24" x14ac:dyDescent="0.2">
      <c r="L83">
        <v>250</v>
      </c>
      <c r="M83">
        <v>815</v>
      </c>
      <c r="N83">
        <v>1412</v>
      </c>
      <c r="O83">
        <v>2.6701169999999999</v>
      </c>
      <c r="P83">
        <v>1.5700480000000001</v>
      </c>
      <c r="Q83">
        <v>2216.9081999999999</v>
      </c>
      <c r="R83">
        <v>2176.1453999999999</v>
      </c>
    </row>
    <row r="84" spans="12:24" x14ac:dyDescent="0.2">
      <c r="L84">
        <v>250</v>
      </c>
      <c r="M84">
        <v>852</v>
      </c>
      <c r="N84">
        <v>1394</v>
      </c>
      <c r="O84">
        <v>2.5778249999999998</v>
      </c>
      <c r="P84">
        <v>1.5189029999999999</v>
      </c>
      <c r="Q84">
        <v>2117.3503000000001</v>
      </c>
      <c r="R84">
        <v>2196.3071</v>
      </c>
    </row>
    <row r="85" spans="12:24" x14ac:dyDescent="0.2">
      <c r="L85">
        <v>250</v>
      </c>
      <c r="M85">
        <v>875</v>
      </c>
      <c r="N85">
        <v>1486</v>
      </c>
      <c r="O85">
        <v>2.578322</v>
      </c>
      <c r="P85">
        <v>1.628268</v>
      </c>
      <c r="Q85">
        <v>2419.6068</v>
      </c>
      <c r="R85">
        <v>2256.0317</v>
      </c>
    </row>
    <row r="86" spans="12:24" x14ac:dyDescent="0.2">
      <c r="L86">
        <v>250</v>
      </c>
      <c r="M86">
        <v>888</v>
      </c>
      <c r="N86">
        <v>1429</v>
      </c>
      <c r="O86">
        <v>2.6137139999999999</v>
      </c>
      <c r="P86">
        <v>1.5361499999999999</v>
      </c>
      <c r="Q86">
        <v>2195.1579000000002</v>
      </c>
      <c r="R86">
        <v>2320.9784</v>
      </c>
    </row>
    <row r="87" spans="12:24" x14ac:dyDescent="0.2">
      <c r="L87">
        <v>500</v>
      </c>
      <c r="M87">
        <v>1326</v>
      </c>
      <c r="N87">
        <v>1549</v>
      </c>
      <c r="O87">
        <v>2.0330729999999999</v>
      </c>
      <c r="P87">
        <v>1.405689</v>
      </c>
      <c r="Q87">
        <v>2177.4128999999998</v>
      </c>
      <c r="R87">
        <v>2695.8542000000002</v>
      </c>
      <c r="S87">
        <f xml:space="preserve"> AVERAGE(M87:N91)</f>
        <v>1397.2</v>
      </c>
      <c r="T87">
        <f xml:space="preserve"> AVERAGE(O87:P91)</f>
        <v>1.7466252</v>
      </c>
      <c r="U87">
        <f xml:space="preserve"> AVERAGE(Q87:R91)</f>
        <v>2386.3780200000001</v>
      </c>
      <c r="V87">
        <f>(STDEV(M87:N91)/SQRT(10))</f>
        <v>51.756867499234822</v>
      </c>
      <c r="W87">
        <f>(STDEV(O87:P91)/SQRT(10))</f>
        <v>0.1191460463866649</v>
      </c>
      <c r="X87">
        <f>(STDEV(Q87:R91)/SQRT(10))</f>
        <v>81.900478776953307</v>
      </c>
    </row>
    <row r="88" spans="12:24" x14ac:dyDescent="0.2">
      <c r="L88">
        <v>500</v>
      </c>
      <c r="M88">
        <v>1286</v>
      </c>
      <c r="N88">
        <v>1525</v>
      </c>
      <c r="O88">
        <v>2.071577</v>
      </c>
      <c r="P88">
        <v>1.336784</v>
      </c>
      <c r="Q88">
        <v>2038.5962999999999</v>
      </c>
      <c r="R88">
        <v>2664.0484000000001</v>
      </c>
    </row>
    <row r="89" spans="12:24" x14ac:dyDescent="0.2">
      <c r="L89">
        <v>500</v>
      </c>
      <c r="M89">
        <v>1238</v>
      </c>
      <c r="N89">
        <v>1569</v>
      </c>
      <c r="O89">
        <v>2.133632</v>
      </c>
      <c r="P89">
        <v>1.472896</v>
      </c>
      <c r="Q89">
        <v>2310.9735999999998</v>
      </c>
      <c r="R89">
        <v>2641.4362000000001</v>
      </c>
    </row>
    <row r="90" spans="12:24" x14ac:dyDescent="0.2">
      <c r="L90">
        <v>500</v>
      </c>
      <c r="M90">
        <v>1206</v>
      </c>
      <c r="N90">
        <v>1523</v>
      </c>
      <c r="O90">
        <v>2.1487660000000002</v>
      </c>
      <c r="P90">
        <v>1.415616</v>
      </c>
      <c r="Q90">
        <v>2155.9837000000002</v>
      </c>
      <c r="R90">
        <v>2591.4122000000002</v>
      </c>
    </row>
    <row r="91" spans="12:24" x14ac:dyDescent="0.2">
      <c r="L91">
        <v>500</v>
      </c>
      <c r="M91">
        <v>1180</v>
      </c>
      <c r="N91">
        <v>1570</v>
      </c>
      <c r="O91">
        <v>2.1170260000000001</v>
      </c>
      <c r="P91">
        <v>1.3311930000000001</v>
      </c>
      <c r="Q91">
        <v>2089.9722999999999</v>
      </c>
      <c r="R91">
        <v>2498.0904</v>
      </c>
    </row>
    <row r="92" spans="12:24" x14ac:dyDescent="0.2">
      <c r="L92">
        <v>1000</v>
      </c>
      <c r="M92">
        <v>1028</v>
      </c>
      <c r="N92">
        <v>1342</v>
      </c>
      <c r="O92">
        <v>1.843021</v>
      </c>
      <c r="P92">
        <v>0.89464200000000005</v>
      </c>
      <c r="Q92">
        <v>1200.6098</v>
      </c>
      <c r="R92">
        <v>1894.6251999999999</v>
      </c>
      <c r="S92">
        <f xml:space="preserve"> AVERAGE(M92:N96)</f>
        <v>1194.8</v>
      </c>
      <c r="T92">
        <f xml:space="preserve"> AVERAGE(O92:P96)</f>
        <v>1.3468370999999999</v>
      </c>
      <c r="U92">
        <f xml:space="preserve"> AVERAGE(Q92:R96)</f>
        <v>1543.81331</v>
      </c>
      <c r="V92">
        <f>(STDEV(M92:N96)/SQRT(10))</f>
        <v>48.165640127469338</v>
      </c>
      <c r="W92">
        <f>(STDEV(O92:P96)/SQRT(10))</f>
        <v>0.15772555096393445</v>
      </c>
      <c r="X92">
        <f>(STDEV(Q92:R96)/SQRT(10))</f>
        <v>127.8174837994478</v>
      </c>
    </row>
    <row r="93" spans="12:24" x14ac:dyDescent="0.2">
      <c r="L93">
        <v>1000</v>
      </c>
      <c r="M93">
        <v>1037</v>
      </c>
      <c r="N93">
        <v>1347</v>
      </c>
      <c r="O93">
        <v>1.8349949999999999</v>
      </c>
      <c r="P93">
        <v>0.891961</v>
      </c>
      <c r="Q93">
        <v>1201.4717000000001</v>
      </c>
      <c r="R93">
        <v>1902.8893</v>
      </c>
    </row>
    <row r="94" spans="12:24" x14ac:dyDescent="0.2">
      <c r="L94">
        <v>1000</v>
      </c>
      <c r="M94">
        <v>1045</v>
      </c>
      <c r="N94">
        <v>1388</v>
      </c>
      <c r="O94">
        <v>1.8682989999999999</v>
      </c>
      <c r="P94">
        <v>0.87832500000000002</v>
      </c>
      <c r="Q94">
        <v>1219.1152999999999</v>
      </c>
      <c r="R94">
        <v>1952.3724999999999</v>
      </c>
    </row>
    <row r="95" spans="12:24" x14ac:dyDescent="0.2">
      <c r="L95">
        <v>1000</v>
      </c>
      <c r="M95">
        <v>1022</v>
      </c>
      <c r="N95">
        <v>1276</v>
      </c>
      <c r="O95">
        <v>1.775145</v>
      </c>
      <c r="P95">
        <v>0.88939599999999996</v>
      </c>
      <c r="Q95">
        <v>1134.8688</v>
      </c>
      <c r="R95">
        <v>1814.1981000000001</v>
      </c>
    </row>
    <row r="96" spans="12:24" x14ac:dyDescent="0.2">
      <c r="L96">
        <v>1000</v>
      </c>
      <c r="M96">
        <v>1153</v>
      </c>
      <c r="N96">
        <v>1310</v>
      </c>
      <c r="O96">
        <v>1.772653</v>
      </c>
      <c r="P96">
        <v>0.81993400000000005</v>
      </c>
      <c r="Q96">
        <v>1074.1133</v>
      </c>
      <c r="R96">
        <v>2043.8690999999999</v>
      </c>
    </row>
    <row r="97" spans="12:24" x14ac:dyDescent="0.2">
      <c r="L97">
        <v>2000</v>
      </c>
      <c r="M97">
        <v>1018</v>
      </c>
      <c r="O97">
        <v>2.1682139999999999</v>
      </c>
      <c r="R97">
        <v>2207.2413999999999</v>
      </c>
      <c r="S97">
        <f xml:space="preserve"> AVERAGE(M97:N101)</f>
        <v>959.6</v>
      </c>
      <c r="T97">
        <f xml:space="preserve"> AVERAGE(O97:P101)</f>
        <v>2.2039453999999998</v>
      </c>
      <c r="U97">
        <f xml:space="preserve"> AVERAGE(Q97:R101)</f>
        <v>2114.73756</v>
      </c>
      <c r="V97">
        <f>(STDEV(M97:N101)/SQRT(5))</f>
        <v>25.144780770569465</v>
      </c>
      <c r="W97">
        <f>(STDEV(O97:P101)/SQRT(10))</f>
        <v>1.1677904976064874E-2</v>
      </c>
      <c r="X97">
        <f>(STDEV(Q97:R101)/SQRT(10))</f>
        <v>39.182117629982699</v>
      </c>
    </row>
    <row r="98" spans="12:24" x14ac:dyDescent="0.2">
      <c r="L98">
        <v>2000</v>
      </c>
      <c r="M98">
        <v>1010</v>
      </c>
      <c r="O98">
        <v>2.20207</v>
      </c>
      <c r="R98">
        <v>2224.0907000000002</v>
      </c>
    </row>
    <row r="99" spans="12:24" x14ac:dyDescent="0.2">
      <c r="L99">
        <v>2000</v>
      </c>
      <c r="M99">
        <v>950</v>
      </c>
      <c r="O99">
        <v>2.2220650000000002</v>
      </c>
      <c r="R99">
        <v>2110.9621000000002</v>
      </c>
    </row>
    <row r="100" spans="12:24" x14ac:dyDescent="0.2">
      <c r="L100">
        <v>2000</v>
      </c>
      <c r="M100">
        <v>939</v>
      </c>
      <c r="O100">
        <v>2.2564470000000001</v>
      </c>
      <c r="R100">
        <v>2118.8036999999999</v>
      </c>
    </row>
    <row r="101" spans="12:24" x14ac:dyDescent="0.2">
      <c r="L101">
        <v>2000</v>
      </c>
      <c r="M101">
        <v>881</v>
      </c>
      <c r="O101">
        <v>2.1709309999999999</v>
      </c>
      <c r="R101">
        <v>1912.5898999999999</v>
      </c>
    </row>
    <row r="102" spans="12:24" x14ac:dyDescent="0.2">
      <c r="L102">
        <v>4000</v>
      </c>
      <c r="M102">
        <v>634</v>
      </c>
      <c r="N102">
        <v>737</v>
      </c>
      <c r="O102">
        <v>2.6699069999999998</v>
      </c>
      <c r="P102">
        <v>0.80134000000000005</v>
      </c>
      <c r="Q102">
        <v>590.5874</v>
      </c>
      <c r="R102">
        <v>1692.7209</v>
      </c>
      <c r="S102">
        <f xml:space="preserve"> AVERAGE(M102:N106)</f>
        <v>697.8</v>
      </c>
      <c r="T102">
        <f xml:space="preserve"> AVERAGE(O102:P106)</f>
        <v>1.7098479000000002</v>
      </c>
      <c r="U102">
        <f xml:space="preserve"> AVERAGE(Q102:R106)</f>
        <v>1151.34292</v>
      </c>
      <c r="V102">
        <f>(STDEV(M102:N106)/SQRT(10))</f>
        <v>17.146298596360541</v>
      </c>
      <c r="W102">
        <f>(STDEV(O102:P106)/SQRT(10))</f>
        <v>0.30620583814328567</v>
      </c>
      <c r="X102">
        <f>(STDEV(Q102:R106)/SQRT(10))</f>
        <v>188.21064247010338</v>
      </c>
    </row>
    <row r="103" spans="12:24" x14ac:dyDescent="0.2">
      <c r="L103">
        <v>4000</v>
      </c>
      <c r="M103">
        <v>679</v>
      </c>
      <c r="N103">
        <v>706</v>
      </c>
      <c r="O103">
        <v>2.58799</v>
      </c>
      <c r="P103">
        <v>0.79444400000000004</v>
      </c>
      <c r="Q103">
        <v>560.87720000000002</v>
      </c>
      <c r="R103">
        <v>1757.2451000000001</v>
      </c>
    </row>
    <row r="104" spans="12:24" x14ac:dyDescent="0.2">
      <c r="L104">
        <v>4000</v>
      </c>
      <c r="M104">
        <v>636</v>
      </c>
      <c r="N104">
        <v>755</v>
      </c>
      <c r="O104">
        <v>2.7368429999999999</v>
      </c>
      <c r="P104">
        <v>0.81081899999999996</v>
      </c>
      <c r="Q104">
        <v>612.16869999999994</v>
      </c>
      <c r="R104">
        <v>1740.6324</v>
      </c>
    </row>
    <row r="105" spans="12:24" x14ac:dyDescent="0.2">
      <c r="L105">
        <v>4000</v>
      </c>
      <c r="M105">
        <v>683</v>
      </c>
      <c r="N105">
        <v>744</v>
      </c>
      <c r="O105">
        <v>2.6410269999999998</v>
      </c>
      <c r="P105">
        <v>0.71547899999999998</v>
      </c>
      <c r="Q105">
        <v>532.31619999999998</v>
      </c>
      <c r="R105">
        <v>1803.8215</v>
      </c>
    </row>
    <row r="106" spans="12:24" x14ac:dyDescent="0.2">
      <c r="L106">
        <v>4000</v>
      </c>
      <c r="M106">
        <v>628</v>
      </c>
      <c r="N106">
        <v>776</v>
      </c>
      <c r="O106">
        <v>2.4950640000000002</v>
      </c>
      <c r="P106">
        <v>0.84556600000000004</v>
      </c>
      <c r="Q106">
        <v>656.15940000000001</v>
      </c>
      <c r="R106">
        <v>1566.9004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6F7E-7EE2-2344-A9BC-BB2A29279B50}">
  <dimension ref="A2:U66"/>
  <sheetViews>
    <sheetView tabSelected="1" zoomScale="63" zoomScaleNormal="43" workbookViewId="0">
      <selection activeCell="AE52" sqref="AE52"/>
    </sheetView>
  </sheetViews>
  <sheetFormatPr baseColWidth="10" defaultRowHeight="16" x14ac:dyDescent="0.2"/>
  <cols>
    <col min="2" max="3" width="19.6640625" bestFit="1" customWidth="1"/>
    <col min="4" max="4" width="12.33203125" bestFit="1" customWidth="1"/>
  </cols>
  <sheetData>
    <row r="2" spans="1:21" x14ac:dyDescent="0.2">
      <c r="Q2">
        <v>0</v>
      </c>
      <c r="R2">
        <v>203.2</v>
      </c>
      <c r="S2">
        <v>2.0849780000000004</v>
      </c>
      <c r="T2">
        <v>423.92636000000005</v>
      </c>
    </row>
    <row r="3" spans="1:21" x14ac:dyDescent="0.2">
      <c r="Q3">
        <v>10</v>
      </c>
      <c r="R3">
        <v>221.6</v>
      </c>
      <c r="S3">
        <v>1.4216342000000002</v>
      </c>
      <c r="T3">
        <v>315.39117999999996</v>
      </c>
    </row>
    <row r="4" spans="1:21" x14ac:dyDescent="0.2">
      <c r="Q4">
        <v>25</v>
      </c>
      <c r="R4">
        <v>231</v>
      </c>
      <c r="S4">
        <v>0.80271300000000001</v>
      </c>
      <c r="T4">
        <v>185.42679999999999</v>
      </c>
    </row>
    <row r="5" spans="1:21" x14ac:dyDescent="0.2">
      <c r="A5" t="s">
        <v>54</v>
      </c>
      <c r="B5" t="s">
        <v>51</v>
      </c>
      <c r="C5" t="s">
        <v>53</v>
      </c>
      <c r="D5" t="s">
        <v>58</v>
      </c>
      <c r="E5" t="s">
        <v>52</v>
      </c>
      <c r="F5" t="s">
        <v>56</v>
      </c>
      <c r="G5" t="s">
        <v>57</v>
      </c>
      <c r="Q5">
        <v>50</v>
      </c>
      <c r="R5">
        <v>225.4</v>
      </c>
      <c r="S5">
        <v>0.88231579999999998</v>
      </c>
      <c r="T5">
        <v>197.10808</v>
      </c>
    </row>
    <row r="6" spans="1:21" x14ac:dyDescent="0.2">
      <c r="A6">
        <v>0</v>
      </c>
      <c r="B6">
        <v>658</v>
      </c>
      <c r="C6">
        <v>674</v>
      </c>
      <c r="D6">
        <v>3.413081</v>
      </c>
      <c r="E6">
        <v>3.319922</v>
      </c>
      <c r="F6">
        <v>2237.6275999999998</v>
      </c>
      <c r="G6">
        <v>2245.8072000000002</v>
      </c>
      <c r="Q6">
        <v>100</v>
      </c>
      <c r="R6">
        <v>71.400000000000006</v>
      </c>
      <c r="S6">
        <v>0.68161479999999997</v>
      </c>
      <c r="T6">
        <v>49.30068</v>
      </c>
    </row>
    <row r="7" spans="1:21" x14ac:dyDescent="0.2">
      <c r="A7">
        <v>0</v>
      </c>
      <c r="B7">
        <v>660</v>
      </c>
      <c r="C7">
        <v>620</v>
      </c>
      <c r="D7">
        <v>3.4868540000000001</v>
      </c>
      <c r="E7">
        <v>3.5681620000000001</v>
      </c>
      <c r="F7">
        <v>2212.2606999999998</v>
      </c>
      <c r="G7">
        <v>2301.3236999999999</v>
      </c>
    </row>
    <row r="8" spans="1:21" x14ac:dyDescent="0.2">
      <c r="A8">
        <v>0</v>
      </c>
      <c r="B8">
        <v>695</v>
      </c>
      <c r="C8">
        <v>672</v>
      </c>
      <c r="D8">
        <v>3.4932660000000002</v>
      </c>
      <c r="E8">
        <v>3.6482619999999999</v>
      </c>
      <c r="F8">
        <v>2451.6323000000002</v>
      </c>
      <c r="G8">
        <v>2427.8202000000001</v>
      </c>
    </row>
    <row r="9" spans="1:21" x14ac:dyDescent="0.2">
      <c r="A9">
        <v>0</v>
      </c>
      <c r="B9">
        <v>709</v>
      </c>
      <c r="C9">
        <v>692</v>
      </c>
      <c r="D9">
        <v>3.5760299999999998</v>
      </c>
      <c r="E9">
        <v>3.7738040000000002</v>
      </c>
      <c r="F9">
        <v>2611.4724999999999</v>
      </c>
      <c r="G9">
        <v>2535.4056</v>
      </c>
    </row>
    <row r="10" spans="1:21" x14ac:dyDescent="0.2">
      <c r="A10">
        <v>0</v>
      </c>
      <c r="B10">
        <v>722</v>
      </c>
      <c r="C10">
        <v>675</v>
      </c>
      <c r="D10">
        <v>3.6020639999999999</v>
      </c>
      <c r="E10">
        <v>3.7077100000000001</v>
      </c>
      <c r="F10">
        <v>2502.7040999999999</v>
      </c>
      <c r="G10">
        <v>2600.6903000000002</v>
      </c>
    </row>
    <row r="11" spans="1:21" x14ac:dyDescent="0.2">
      <c r="A11">
        <v>25</v>
      </c>
      <c r="B11">
        <v>686</v>
      </c>
      <c r="C11">
        <v>737</v>
      </c>
      <c r="D11">
        <v>3.4752160000000001</v>
      </c>
      <c r="E11">
        <v>0.80134000000000005</v>
      </c>
      <c r="F11">
        <v>590.5874</v>
      </c>
      <c r="G11">
        <v>2383.9985000000001</v>
      </c>
      <c r="H11">
        <f xml:space="preserve"> AVERAGE(B6:B10)</f>
        <v>688.8</v>
      </c>
      <c r="I11">
        <f xml:space="preserve"> AVERAGE(C6:C10)</f>
        <v>666.6</v>
      </c>
      <c r="J11">
        <f t="shared" ref="J11:M11" si="0" xml:space="preserve"> AVERAGE(D6:D10)</f>
        <v>3.514259</v>
      </c>
      <c r="K11">
        <f t="shared" si="0"/>
        <v>3.6035719999999998</v>
      </c>
      <c r="L11">
        <f t="shared" si="0"/>
        <v>2403.1394399999999</v>
      </c>
      <c r="M11">
        <f t="shared" si="0"/>
        <v>2422.2094000000002</v>
      </c>
      <c r="O11">
        <f xml:space="preserve"> AVERAGE(H11,I11,R2)</f>
        <v>519.53333333333342</v>
      </c>
      <c r="P11">
        <f xml:space="preserve"> AVERAGE(J11:K11,S2)</f>
        <v>3.0676030000000001</v>
      </c>
      <c r="Q11">
        <f xml:space="preserve"> AVERAGE(L11:M11,T2)</f>
        <v>1749.7584000000004</v>
      </c>
      <c r="S11">
        <f xml:space="preserve"> STDEV(H11:I11,R2)/SQRT(3)</f>
        <v>158.29644482566383</v>
      </c>
      <c r="T11">
        <f xml:space="preserve"> STDEV(J11:K11,S2)/SQRT(3)</f>
        <v>0.49198852322691411</v>
      </c>
      <c r="U11">
        <f xml:space="preserve"> STDEV(L11:M11,T2)/SQRT(3)</f>
        <v>662.93887716277447</v>
      </c>
    </row>
    <row r="12" spans="1:21" x14ac:dyDescent="0.2">
      <c r="A12">
        <v>25</v>
      </c>
      <c r="B12">
        <v>672</v>
      </c>
      <c r="C12">
        <v>706</v>
      </c>
      <c r="D12">
        <v>3.4006219999999998</v>
      </c>
      <c r="E12">
        <v>0.79444400000000004</v>
      </c>
      <c r="F12">
        <v>560.87720000000002</v>
      </c>
      <c r="G12">
        <v>2285.2179999999998</v>
      </c>
    </row>
    <row r="13" spans="1:21" x14ac:dyDescent="0.2">
      <c r="A13">
        <v>25</v>
      </c>
      <c r="B13">
        <v>652</v>
      </c>
      <c r="C13">
        <v>755</v>
      </c>
      <c r="D13">
        <v>3.3070349999999999</v>
      </c>
      <c r="E13">
        <v>0.81081899999999996</v>
      </c>
      <c r="F13">
        <v>612.16869999999994</v>
      </c>
      <c r="G13">
        <v>2156.1864999999998</v>
      </c>
    </row>
    <row r="14" spans="1:21" x14ac:dyDescent="0.2">
      <c r="A14">
        <v>25</v>
      </c>
      <c r="B14">
        <v>645</v>
      </c>
      <c r="C14">
        <v>744</v>
      </c>
      <c r="D14">
        <v>3.2348699999999999</v>
      </c>
      <c r="E14">
        <v>0.71547899999999998</v>
      </c>
      <c r="F14">
        <v>532.31619999999998</v>
      </c>
      <c r="G14">
        <v>2086.4908999999998</v>
      </c>
    </row>
    <row r="15" spans="1:21" x14ac:dyDescent="0.2">
      <c r="A15">
        <v>25</v>
      </c>
      <c r="B15">
        <v>603</v>
      </c>
      <c r="C15">
        <v>776</v>
      </c>
      <c r="D15">
        <v>3.349367</v>
      </c>
      <c r="E15">
        <v>0.84556600000000004</v>
      </c>
      <c r="F15">
        <v>656.15940000000001</v>
      </c>
      <c r="G15">
        <v>2019.6683</v>
      </c>
      <c r="H15">
        <f xml:space="preserve"> AVERAGE(B10:B14)</f>
        <v>675.4</v>
      </c>
      <c r="I15">
        <f t="shared" ref="I15:M15" si="1" xml:space="preserve"> AVERAGE(C10:C14)</f>
        <v>723.4</v>
      </c>
      <c r="J15">
        <f t="shared" si="1"/>
        <v>3.4039614</v>
      </c>
      <c r="K15">
        <f t="shared" si="1"/>
        <v>1.3659584000000002</v>
      </c>
      <c r="L15">
        <f t="shared" si="1"/>
        <v>959.73071999999991</v>
      </c>
      <c r="M15">
        <f t="shared" si="1"/>
        <v>2302.5168400000002</v>
      </c>
      <c r="O15">
        <f xml:space="preserve"> AVERAGE(H15:I15,R4)</f>
        <v>543.26666666666665</v>
      </c>
      <c r="P15">
        <f xml:space="preserve"> AVERAGE(J15:K15,S4)</f>
        <v>1.8575442666666666</v>
      </c>
      <c r="Q15">
        <f xml:space="preserve"> AVERAGE(L15:M15,T4)</f>
        <v>1149.2247866666669</v>
      </c>
      <c r="S15">
        <f xml:space="preserve"> STDEV(H15:I15,R3)/SQRT(3)</f>
        <v>159.86829301369031</v>
      </c>
      <c r="T15">
        <f xml:space="preserve"> STDEV(J15:K15,S4)/SQRT(3)</f>
        <v>0.7901193597289492</v>
      </c>
      <c r="U15">
        <f xml:space="preserve"> STDEV(L15:M15,T4)/SQRT(3)</f>
        <v>618.45198152139085</v>
      </c>
    </row>
    <row r="16" spans="1:21" x14ac:dyDescent="0.2">
      <c r="A16">
        <v>50</v>
      </c>
      <c r="B16">
        <v>643</v>
      </c>
      <c r="C16">
        <v>984</v>
      </c>
      <c r="D16">
        <v>4.0596800000000002</v>
      </c>
      <c r="E16">
        <v>2.6469969999999998</v>
      </c>
      <c r="F16">
        <v>2604.6448999999998</v>
      </c>
      <c r="G16">
        <v>2610.3739999999998</v>
      </c>
    </row>
    <row r="17" spans="1:21" x14ac:dyDescent="0.2">
      <c r="A17">
        <v>50</v>
      </c>
      <c r="B17">
        <v>641</v>
      </c>
      <c r="C17">
        <v>998</v>
      </c>
      <c r="D17">
        <v>4.1060939999999997</v>
      </c>
      <c r="E17">
        <v>2.6492360000000001</v>
      </c>
      <c r="F17">
        <v>2643.9373999999998</v>
      </c>
      <c r="G17">
        <v>2632.0059999999999</v>
      </c>
    </row>
    <row r="18" spans="1:21" x14ac:dyDescent="0.2">
      <c r="A18">
        <v>50</v>
      </c>
      <c r="B18">
        <v>646</v>
      </c>
      <c r="C18">
        <v>996</v>
      </c>
      <c r="D18">
        <v>4.0549010000000001</v>
      </c>
      <c r="E18">
        <v>2.687592</v>
      </c>
      <c r="F18">
        <v>2676.8416999999999</v>
      </c>
      <c r="G18">
        <v>2619.4661999999998</v>
      </c>
    </row>
    <row r="19" spans="1:21" x14ac:dyDescent="0.2">
      <c r="A19">
        <v>50</v>
      </c>
      <c r="B19">
        <v>591</v>
      </c>
      <c r="C19">
        <v>1018</v>
      </c>
      <c r="D19">
        <v>4.3233119999999996</v>
      </c>
      <c r="E19">
        <v>2.839731</v>
      </c>
      <c r="F19">
        <v>2890.8463999999999</v>
      </c>
      <c r="G19">
        <v>2555.0772000000002</v>
      </c>
    </row>
    <row r="20" spans="1:21" x14ac:dyDescent="0.2">
      <c r="A20">
        <v>50</v>
      </c>
      <c r="B20">
        <v>594</v>
      </c>
      <c r="C20">
        <v>988</v>
      </c>
      <c r="D20">
        <v>4.3652360000000003</v>
      </c>
      <c r="E20">
        <v>2.873907</v>
      </c>
      <c r="F20">
        <v>2839.4196999999999</v>
      </c>
      <c r="G20">
        <v>2592.9501</v>
      </c>
      <c r="H20">
        <f xml:space="preserve"> AVERAGE(B15:B19)</f>
        <v>624.79999999999995</v>
      </c>
      <c r="I20">
        <f t="shared" ref="I20:M20" si="2" xml:space="preserve"> AVERAGE(C15:C19)</f>
        <v>954.4</v>
      </c>
      <c r="J20">
        <f t="shared" si="2"/>
        <v>3.9786708000000006</v>
      </c>
      <c r="K20">
        <f t="shared" si="2"/>
        <v>2.3338244000000001</v>
      </c>
      <c r="L20">
        <f t="shared" si="2"/>
        <v>2294.48596</v>
      </c>
      <c r="M20">
        <f t="shared" si="2"/>
        <v>2487.3183400000003</v>
      </c>
      <c r="O20">
        <f xml:space="preserve"> AVERAGE(H20:I20,R5)</f>
        <v>601.5333333333333</v>
      </c>
      <c r="P20">
        <f xml:space="preserve"> AVERAGE(J20:K20,S5)</f>
        <v>2.3982703333333335</v>
      </c>
      <c r="Q20">
        <f xml:space="preserve"> AVERAGE(K20:L20,T5)</f>
        <v>831.30928813333333</v>
      </c>
      <c r="S20">
        <f xml:space="preserve"> STDEV(H20:I20,R5)/SQRT(3)</f>
        <v>210.76547260982866</v>
      </c>
      <c r="T20">
        <f xml:space="preserve"> STDEV(J20:K20,S5)/SQRT(3)</f>
        <v>0.89442132693875576</v>
      </c>
      <c r="U20">
        <f xml:space="preserve"> STDEV(L20:M20,T5)/SQRT(3)</f>
        <v>733.38035202671949</v>
      </c>
    </row>
    <row r="21" spans="1:21" x14ac:dyDescent="0.2">
      <c r="A21">
        <v>100</v>
      </c>
      <c r="B21">
        <v>623</v>
      </c>
      <c r="C21">
        <v>887</v>
      </c>
      <c r="D21">
        <v>4.0479159999999998</v>
      </c>
      <c r="E21">
        <v>2.4452600000000002</v>
      </c>
      <c r="F21">
        <v>2168.9459999999999</v>
      </c>
      <c r="G21">
        <v>2521.8517999999999</v>
      </c>
    </row>
    <row r="22" spans="1:21" x14ac:dyDescent="0.2">
      <c r="A22">
        <v>100</v>
      </c>
      <c r="B22">
        <v>535</v>
      </c>
      <c r="C22">
        <v>902</v>
      </c>
      <c r="D22">
        <v>3.8951500000000001</v>
      </c>
      <c r="E22">
        <v>2.5014059999999998</v>
      </c>
      <c r="F22">
        <v>2256.2683000000002</v>
      </c>
      <c r="G22">
        <v>2083.9052000000001</v>
      </c>
    </row>
    <row r="23" spans="1:21" x14ac:dyDescent="0.2">
      <c r="A23">
        <v>100</v>
      </c>
      <c r="B23">
        <v>461</v>
      </c>
      <c r="C23">
        <v>930</v>
      </c>
      <c r="D23">
        <v>3.6143999999999998</v>
      </c>
      <c r="E23">
        <v>2.4324189999999999</v>
      </c>
      <c r="F23">
        <v>2262.1495</v>
      </c>
      <c r="G23">
        <v>1666.2385999999999</v>
      </c>
    </row>
    <row r="24" spans="1:21" x14ac:dyDescent="0.2">
      <c r="A24">
        <v>100</v>
      </c>
      <c r="B24">
        <v>383</v>
      </c>
      <c r="C24">
        <v>897</v>
      </c>
      <c r="D24">
        <v>3.4904899999999999</v>
      </c>
      <c r="E24">
        <v>2.3064260000000001</v>
      </c>
      <c r="F24">
        <v>2068.8642</v>
      </c>
      <c r="G24">
        <v>1336.8576</v>
      </c>
    </row>
    <row r="25" spans="1:21" x14ac:dyDescent="0.2">
      <c r="A25">
        <v>100</v>
      </c>
      <c r="B25">
        <v>370</v>
      </c>
      <c r="C25">
        <v>855</v>
      </c>
      <c r="D25">
        <v>3.5729340000000001</v>
      </c>
      <c r="E25">
        <v>2.456944</v>
      </c>
      <c r="F25">
        <v>2100.6869000000002</v>
      </c>
      <c r="G25">
        <v>1321.9856</v>
      </c>
      <c r="H25">
        <f xml:space="preserve"> AVERAGE(B20:B24)</f>
        <v>519.20000000000005</v>
      </c>
      <c r="I25">
        <f t="shared" ref="I25" si="3" xml:space="preserve"> AVERAGE(C20:C24)</f>
        <v>920.8</v>
      </c>
      <c r="J25">
        <f t="shared" ref="J25" si="4" xml:space="preserve"> AVERAGE(D20:D24)</f>
        <v>3.8826384000000003</v>
      </c>
      <c r="K25">
        <f t="shared" ref="K25" si="5" xml:space="preserve"> AVERAGE(E20:E24)</f>
        <v>2.5118836</v>
      </c>
      <c r="L25">
        <f t="shared" ref="L25:M25" si="6" xml:space="preserve"> AVERAGE(F20:F24)</f>
        <v>2319.1295399999999</v>
      </c>
      <c r="M25">
        <f t="shared" si="6"/>
        <v>2040.3606599999998</v>
      </c>
      <c r="O25">
        <f xml:space="preserve"> AVERAGE(H25:I25,R6)</f>
        <v>503.8</v>
      </c>
      <c r="P25">
        <f xml:space="preserve"> AVERAGE(J25:K25,S6)</f>
        <v>2.3587122666666667</v>
      </c>
      <c r="Q25">
        <f xml:space="preserve"> AVERAGE(K25:L25,T6)</f>
        <v>790.31403453333326</v>
      </c>
      <c r="S25">
        <f xml:space="preserve"> STDEV(H25:I25,R6)/SQRT(3)</f>
        <v>245.32153051318855</v>
      </c>
      <c r="T25">
        <f xml:space="preserve"> STDEV(J25:K25,S6)/SQRT(3)</f>
        <v>0.92722419348569196</v>
      </c>
      <c r="U25">
        <f xml:space="preserve"> STDEV(L25:M25,T6)/SQRT(3)</f>
        <v>714.69321258623302</v>
      </c>
    </row>
    <row r="26" spans="1:21" x14ac:dyDescent="0.2">
      <c r="A26">
        <v>250</v>
      </c>
      <c r="B26">
        <v>744</v>
      </c>
      <c r="C26">
        <v>1427</v>
      </c>
      <c r="D26">
        <v>2.6392389999999999</v>
      </c>
      <c r="E26">
        <v>1.51766</v>
      </c>
      <c r="F26">
        <v>2165.7012</v>
      </c>
      <c r="G26">
        <v>1963.5941</v>
      </c>
    </row>
    <row r="27" spans="1:21" x14ac:dyDescent="0.2">
      <c r="A27">
        <v>250</v>
      </c>
      <c r="B27">
        <v>815</v>
      </c>
      <c r="C27">
        <v>1412</v>
      </c>
      <c r="D27">
        <v>2.6701169999999999</v>
      </c>
      <c r="E27">
        <v>1.5700480000000001</v>
      </c>
      <c r="F27">
        <v>2216.9081999999999</v>
      </c>
      <c r="G27">
        <v>2176.1453999999999</v>
      </c>
    </row>
    <row r="28" spans="1:21" x14ac:dyDescent="0.2">
      <c r="A28">
        <v>250</v>
      </c>
      <c r="B28">
        <v>852</v>
      </c>
      <c r="C28">
        <v>1394</v>
      </c>
      <c r="D28">
        <v>2.5778249999999998</v>
      </c>
      <c r="E28">
        <v>1.5189029999999999</v>
      </c>
      <c r="F28">
        <v>2117.3503000000001</v>
      </c>
      <c r="G28">
        <v>2196.3071</v>
      </c>
    </row>
    <row r="29" spans="1:21" x14ac:dyDescent="0.2">
      <c r="A29">
        <v>250</v>
      </c>
      <c r="B29">
        <v>875</v>
      </c>
      <c r="C29">
        <v>1486</v>
      </c>
      <c r="D29">
        <v>2.578322</v>
      </c>
      <c r="E29">
        <v>1.628268</v>
      </c>
      <c r="F29">
        <v>2419.6068</v>
      </c>
      <c r="G29">
        <v>2256.0317</v>
      </c>
    </row>
    <row r="30" spans="1:21" x14ac:dyDescent="0.2">
      <c r="A30">
        <v>250</v>
      </c>
      <c r="B30">
        <v>888</v>
      </c>
      <c r="C30">
        <v>1429</v>
      </c>
      <c r="D30">
        <v>2.6137139999999999</v>
      </c>
      <c r="E30">
        <v>1.5361499999999999</v>
      </c>
      <c r="F30">
        <v>2195.1579000000002</v>
      </c>
      <c r="G30">
        <v>2320.9784</v>
      </c>
      <c r="H30">
        <f xml:space="preserve"> AVERAGE(B25:B29)</f>
        <v>731.2</v>
      </c>
      <c r="I30">
        <f t="shared" ref="I30" si="7" xml:space="preserve"> AVERAGE(C25:C29)</f>
        <v>1314.8</v>
      </c>
      <c r="J30">
        <f t="shared" ref="J30" si="8" xml:space="preserve"> AVERAGE(D25:D29)</f>
        <v>2.8076873999999998</v>
      </c>
      <c r="K30">
        <f t="shared" ref="K30" si="9" xml:space="preserve"> AVERAGE(E25:E29)</f>
        <v>1.7383645999999999</v>
      </c>
      <c r="L30">
        <f t="shared" ref="L30:M30" si="10" xml:space="preserve"> AVERAGE(F25:F29)</f>
        <v>2204.0506799999998</v>
      </c>
      <c r="M30">
        <f t="shared" si="10"/>
        <v>1982.8127799999997</v>
      </c>
      <c r="O30">
        <f xml:space="preserve"> AVERAGE(H30:I30)</f>
        <v>1023</v>
      </c>
      <c r="P30">
        <f xml:space="preserve"> AVERAGE(J30:K30)</f>
        <v>2.2730259999999998</v>
      </c>
      <c r="Q30">
        <f xml:space="preserve"> AVERAGE(L30:M30)</f>
        <v>2093.4317299999998</v>
      </c>
      <c r="S30">
        <f xml:space="preserve"> STDEV(H30:I30)/SQRT(2)</f>
        <v>291.79999999999995</v>
      </c>
      <c r="T30">
        <f xml:space="preserve"> STDEV(J30:K30,S21)/SQRT(3)</f>
        <v>0.43654920505403172</v>
      </c>
      <c r="U30">
        <f xml:space="preserve"> STDEV(L30:M30)/SQRT(2)</f>
        <v>110.61895000000003</v>
      </c>
    </row>
    <row r="31" spans="1:21" x14ac:dyDescent="0.2">
      <c r="A31">
        <v>500</v>
      </c>
      <c r="B31">
        <v>1326</v>
      </c>
      <c r="C31">
        <v>1549</v>
      </c>
      <c r="D31">
        <v>2.0330729999999999</v>
      </c>
      <c r="E31">
        <v>1.405689</v>
      </c>
      <c r="F31">
        <v>2177.4128999999998</v>
      </c>
      <c r="G31">
        <v>2695.8542000000002</v>
      </c>
    </row>
    <row r="32" spans="1:21" x14ac:dyDescent="0.2">
      <c r="A32">
        <v>500</v>
      </c>
      <c r="B32">
        <v>1286</v>
      </c>
      <c r="C32">
        <v>1525</v>
      </c>
      <c r="D32">
        <v>2.071577</v>
      </c>
      <c r="E32">
        <v>1.336784</v>
      </c>
      <c r="F32">
        <v>2038.5962999999999</v>
      </c>
      <c r="G32">
        <v>2664.0484000000001</v>
      </c>
    </row>
    <row r="33" spans="1:21" x14ac:dyDescent="0.2">
      <c r="A33">
        <v>500</v>
      </c>
      <c r="B33">
        <v>1238</v>
      </c>
      <c r="C33">
        <v>1569</v>
      </c>
      <c r="D33">
        <v>2.133632</v>
      </c>
      <c r="E33">
        <v>1.472896</v>
      </c>
      <c r="F33">
        <v>2310.9735999999998</v>
      </c>
      <c r="G33">
        <v>2641.4362000000001</v>
      </c>
    </row>
    <row r="34" spans="1:21" x14ac:dyDescent="0.2">
      <c r="A34">
        <v>500</v>
      </c>
      <c r="B34">
        <v>1206</v>
      </c>
      <c r="C34">
        <v>1523</v>
      </c>
      <c r="D34">
        <v>2.1487660000000002</v>
      </c>
      <c r="E34">
        <v>1.415616</v>
      </c>
      <c r="F34">
        <v>2155.9837000000002</v>
      </c>
      <c r="G34">
        <v>2591.4122000000002</v>
      </c>
    </row>
    <row r="35" spans="1:21" x14ac:dyDescent="0.2">
      <c r="A35">
        <v>500</v>
      </c>
      <c r="B35">
        <v>1180</v>
      </c>
      <c r="C35">
        <v>1570</v>
      </c>
      <c r="D35">
        <v>2.1170260000000001</v>
      </c>
      <c r="E35">
        <v>1.3311930000000001</v>
      </c>
      <c r="F35">
        <v>2089.9722999999999</v>
      </c>
      <c r="G35">
        <v>2498.0904</v>
      </c>
      <c r="H35">
        <f xml:space="preserve"> AVERAGE(B30:B34)</f>
        <v>1188.8</v>
      </c>
      <c r="I35">
        <f t="shared" ref="I35" si="11" xml:space="preserve"> AVERAGE(C30:C34)</f>
        <v>1519</v>
      </c>
      <c r="J35">
        <f t="shared" ref="J35" si="12" xml:space="preserve"> AVERAGE(D30:D34)</f>
        <v>2.2001523999999999</v>
      </c>
      <c r="K35">
        <f t="shared" ref="K35" si="13" xml:space="preserve"> AVERAGE(E30:E34)</f>
        <v>1.433427</v>
      </c>
      <c r="L35">
        <f t="shared" ref="L35:M35" si="14" xml:space="preserve"> AVERAGE(F30:F34)</f>
        <v>2175.6248800000003</v>
      </c>
      <c r="M35">
        <f t="shared" si="14"/>
        <v>2582.7458799999999</v>
      </c>
      <c r="O35">
        <f xml:space="preserve"> AVERAGE(H35:I35)</f>
        <v>1353.9</v>
      </c>
      <c r="P35">
        <f xml:space="preserve"> AVERAGE(J35:K35)</f>
        <v>1.8167897</v>
      </c>
      <c r="Q35">
        <f xml:space="preserve"> AVERAGE(L35:M35)</f>
        <v>2379.1853799999999</v>
      </c>
      <c r="S35">
        <f xml:space="preserve"> STDEV(H35:I35)/SQRT(2)</f>
        <v>165.09999999999931</v>
      </c>
      <c r="T35">
        <f xml:space="preserve"> STDEV(J35:K35,S26)/SQRT(3)</f>
        <v>0.31301433380522153</v>
      </c>
      <c r="U35">
        <f xml:space="preserve"> STDEV(L35:M35)/SQRT(2)</f>
        <v>203.56049999999982</v>
      </c>
    </row>
    <row r="36" spans="1:21" x14ac:dyDescent="0.2">
      <c r="A36">
        <v>1000</v>
      </c>
      <c r="B36">
        <v>1028</v>
      </c>
      <c r="C36">
        <v>1342</v>
      </c>
      <c r="D36">
        <v>1.843021</v>
      </c>
      <c r="E36">
        <v>0.89464200000000005</v>
      </c>
      <c r="F36">
        <v>1200.6098</v>
      </c>
      <c r="G36">
        <v>1894.6251999999999</v>
      </c>
    </row>
    <row r="37" spans="1:21" x14ac:dyDescent="0.2">
      <c r="A37">
        <v>1000</v>
      </c>
      <c r="B37">
        <v>1037</v>
      </c>
      <c r="C37">
        <v>1347</v>
      </c>
      <c r="D37">
        <v>1.8349949999999999</v>
      </c>
      <c r="E37">
        <v>0.891961</v>
      </c>
      <c r="F37">
        <v>1201.4717000000001</v>
      </c>
      <c r="G37">
        <v>1902.8893</v>
      </c>
    </row>
    <row r="38" spans="1:21" x14ac:dyDescent="0.2">
      <c r="A38">
        <v>1000</v>
      </c>
      <c r="B38">
        <v>1045</v>
      </c>
      <c r="C38">
        <v>1388</v>
      </c>
      <c r="D38">
        <v>1.8682989999999999</v>
      </c>
      <c r="E38">
        <v>0.87832500000000002</v>
      </c>
      <c r="F38">
        <v>1219.1152999999999</v>
      </c>
      <c r="G38">
        <v>1952.3724999999999</v>
      </c>
    </row>
    <row r="39" spans="1:21" x14ac:dyDescent="0.2">
      <c r="A39">
        <v>1000</v>
      </c>
      <c r="B39">
        <v>1022</v>
      </c>
      <c r="C39">
        <v>1276</v>
      </c>
      <c r="D39">
        <v>1.775145</v>
      </c>
      <c r="E39">
        <v>0.88939599999999996</v>
      </c>
      <c r="F39">
        <v>1134.8688</v>
      </c>
      <c r="G39">
        <v>1814.1981000000001</v>
      </c>
    </row>
    <row r="40" spans="1:21" x14ac:dyDescent="0.2">
      <c r="A40">
        <v>1000</v>
      </c>
      <c r="B40">
        <v>1153</v>
      </c>
      <c r="C40">
        <v>1310</v>
      </c>
      <c r="D40">
        <v>1.772653</v>
      </c>
      <c r="E40">
        <v>0.81993400000000005</v>
      </c>
      <c r="F40">
        <v>1074.1133</v>
      </c>
      <c r="G40">
        <v>2043.8690999999999</v>
      </c>
      <c r="H40">
        <f xml:space="preserve"> AVERAGE(B35:B39)</f>
        <v>1062.4000000000001</v>
      </c>
      <c r="I40">
        <f t="shared" ref="I40" si="15" xml:space="preserve"> AVERAGE(C35:C39)</f>
        <v>1384.6</v>
      </c>
      <c r="J40">
        <f t="shared" ref="J40" si="16" xml:space="preserve"> AVERAGE(D35:D39)</f>
        <v>1.8876972000000003</v>
      </c>
      <c r="K40">
        <f t="shared" ref="K40" si="17" xml:space="preserve"> AVERAGE(E35:E39)</f>
        <v>0.97710340000000007</v>
      </c>
      <c r="L40">
        <f t="shared" ref="L40:M40" si="18" xml:space="preserve"> AVERAGE(F35:F39)</f>
        <v>1369.2075799999998</v>
      </c>
      <c r="M40">
        <f t="shared" si="18"/>
        <v>2012.4350999999999</v>
      </c>
      <c r="O40">
        <f xml:space="preserve"> AVERAGE(H40:I40)</f>
        <v>1223.5</v>
      </c>
      <c r="P40">
        <f xml:space="preserve"> AVERAGE(J40:K40)</f>
        <v>1.4324003000000003</v>
      </c>
      <c r="Q40">
        <f xml:space="preserve"> AVERAGE(L40:M40)</f>
        <v>1690.82134</v>
      </c>
      <c r="S40">
        <f xml:space="preserve"> STDEV(H40:I40)/SQRT(2)</f>
        <v>161.09999999999988</v>
      </c>
      <c r="T40">
        <f xml:space="preserve"> STDEV(J40:K40,S31)/SQRT(3)</f>
        <v>0.37174836215699264</v>
      </c>
      <c r="U40">
        <f xml:space="preserve"> STDEV(L40:M40)/SQRT(2)</f>
        <v>321.61375999999927</v>
      </c>
    </row>
    <row r="41" spans="1:21" x14ac:dyDescent="0.2">
      <c r="A41">
        <v>2000</v>
      </c>
      <c r="B41">
        <v>1018</v>
      </c>
      <c r="D41">
        <v>2.1682139999999999</v>
      </c>
      <c r="G41">
        <v>2207.2413999999999</v>
      </c>
    </row>
    <row r="42" spans="1:21" x14ac:dyDescent="0.2">
      <c r="A42">
        <v>2000</v>
      </c>
      <c r="B42">
        <v>1010</v>
      </c>
      <c r="D42">
        <v>2.20207</v>
      </c>
      <c r="G42">
        <v>2224.0907000000002</v>
      </c>
    </row>
    <row r="43" spans="1:21" x14ac:dyDescent="0.2">
      <c r="A43">
        <v>2000</v>
      </c>
      <c r="B43">
        <v>950</v>
      </c>
      <c r="D43">
        <v>2.2220650000000002</v>
      </c>
      <c r="G43">
        <v>2110.9621000000002</v>
      </c>
    </row>
    <row r="44" spans="1:21" x14ac:dyDescent="0.2">
      <c r="A44">
        <v>2000</v>
      </c>
      <c r="B44">
        <v>939</v>
      </c>
      <c r="D44">
        <v>2.2564470000000001</v>
      </c>
      <c r="G44">
        <v>2118.8036999999999</v>
      </c>
    </row>
    <row r="45" spans="1:21" x14ac:dyDescent="0.2">
      <c r="A45">
        <v>2000</v>
      </c>
      <c r="B45">
        <v>881</v>
      </c>
      <c r="D45">
        <v>2.1709309999999999</v>
      </c>
      <c r="G45">
        <v>1912.5898999999999</v>
      </c>
      <c r="H45">
        <f xml:space="preserve"> AVERAGE(B40:B44)</f>
        <v>1014</v>
      </c>
      <c r="I45">
        <f t="shared" ref="I45" si="19" xml:space="preserve"> AVERAGE(C40:C44)</f>
        <v>1310</v>
      </c>
      <c r="J45">
        <f t="shared" ref="J45" si="20" xml:space="preserve"> AVERAGE(D40:D44)</f>
        <v>2.1242898000000001</v>
      </c>
      <c r="K45">
        <f t="shared" ref="K45" si="21" xml:space="preserve"> AVERAGE(E40:E44)</f>
        <v>0.81993400000000005</v>
      </c>
      <c r="L45">
        <f t="shared" ref="L45:M45" si="22" xml:space="preserve"> AVERAGE(F40:F44)</f>
        <v>1074.1133</v>
      </c>
      <c r="M45">
        <f t="shared" si="22"/>
        <v>2140.9934000000003</v>
      </c>
      <c r="O45">
        <f xml:space="preserve"> AVERAGE(H45:I45)</f>
        <v>1162</v>
      </c>
      <c r="P45">
        <f xml:space="preserve"> AVERAGE(J45:K45)</f>
        <v>1.4721119</v>
      </c>
      <c r="Q45">
        <f xml:space="preserve"> AVERAGE(L45:M45)</f>
        <v>1607.5533500000001</v>
      </c>
      <c r="S45">
        <f xml:space="preserve"> STDEV(H45:I45)/SQRT(2)</f>
        <v>148</v>
      </c>
      <c r="T45">
        <f xml:space="preserve"> STDEV(J45:K45,S36)/SQRT(3)</f>
        <v>0.53250102550662481</v>
      </c>
      <c r="U45">
        <f xml:space="preserve"> STDEV(L45:M45)/SQRT(2)</f>
        <v>533.44004999999981</v>
      </c>
    </row>
    <row r="46" spans="1:21" x14ac:dyDescent="0.2">
      <c r="A46">
        <v>4000</v>
      </c>
      <c r="B46">
        <v>634</v>
      </c>
      <c r="C46">
        <v>737</v>
      </c>
      <c r="D46">
        <v>2.6699069999999998</v>
      </c>
      <c r="E46">
        <v>0.80134000000000005</v>
      </c>
      <c r="F46">
        <v>590.5874</v>
      </c>
      <c r="G46">
        <v>1692.7209</v>
      </c>
    </row>
    <row r="47" spans="1:21" x14ac:dyDescent="0.2">
      <c r="A47">
        <v>4000</v>
      </c>
      <c r="B47">
        <v>679</v>
      </c>
      <c r="C47">
        <v>706</v>
      </c>
      <c r="D47">
        <v>2.58799</v>
      </c>
      <c r="E47">
        <v>0.79444400000000004</v>
      </c>
      <c r="F47">
        <v>560.87720000000002</v>
      </c>
      <c r="G47">
        <v>1757.2451000000001</v>
      </c>
    </row>
    <row r="48" spans="1:21" x14ac:dyDescent="0.2">
      <c r="A48">
        <v>4000</v>
      </c>
      <c r="B48">
        <v>636</v>
      </c>
      <c r="C48">
        <v>755</v>
      </c>
      <c r="D48">
        <v>2.7368429999999999</v>
      </c>
      <c r="E48">
        <v>0.81081899999999996</v>
      </c>
      <c r="F48">
        <v>612.16869999999994</v>
      </c>
      <c r="G48">
        <v>1740.6324</v>
      </c>
    </row>
    <row r="49" spans="1:21" x14ac:dyDescent="0.2">
      <c r="A49">
        <v>4000</v>
      </c>
      <c r="B49">
        <v>683</v>
      </c>
      <c r="C49">
        <v>744</v>
      </c>
      <c r="D49">
        <v>2.6410269999999998</v>
      </c>
      <c r="E49">
        <v>0.71547899999999998</v>
      </c>
      <c r="F49">
        <v>532.31619999999998</v>
      </c>
      <c r="G49">
        <v>1803.8215</v>
      </c>
    </row>
    <row r="50" spans="1:21" x14ac:dyDescent="0.2">
      <c r="A50">
        <v>4000</v>
      </c>
      <c r="B50">
        <v>628</v>
      </c>
      <c r="C50">
        <v>776</v>
      </c>
      <c r="D50">
        <v>2.4950640000000002</v>
      </c>
      <c r="E50">
        <v>0.84556600000000004</v>
      </c>
      <c r="F50">
        <v>656.15940000000001</v>
      </c>
      <c r="G50">
        <v>1566.9004</v>
      </c>
      <c r="H50">
        <f xml:space="preserve"> AVERAGE(B45:B49)</f>
        <v>702.6</v>
      </c>
      <c r="I50">
        <f t="shared" ref="I50" si="23" xml:space="preserve"> AVERAGE(C45:C49)</f>
        <v>735.5</v>
      </c>
      <c r="J50">
        <f t="shared" ref="J50" si="24" xml:space="preserve"> AVERAGE(D45:D49)</f>
        <v>2.5613395999999997</v>
      </c>
      <c r="K50">
        <f t="shared" ref="K50" si="25" xml:space="preserve"> AVERAGE(E45:E49)</f>
        <v>0.78052049999999995</v>
      </c>
      <c r="L50">
        <f t="shared" ref="L50:M50" si="26" xml:space="preserve"> AVERAGE(F45:F49)</f>
        <v>573.98737499999993</v>
      </c>
      <c r="M50">
        <f t="shared" si="26"/>
        <v>1781.4019599999999</v>
      </c>
      <c r="O50">
        <f xml:space="preserve"> AVERAGE(H50:I50)</f>
        <v>719.05</v>
      </c>
      <c r="P50">
        <f xml:space="preserve"> AVERAGE(J50:K50)</f>
        <v>1.6709300499999999</v>
      </c>
      <c r="Q50">
        <f xml:space="preserve"> AVERAGE(L50:M50)</f>
        <v>1177.6946674999999</v>
      </c>
      <c r="S50">
        <f xml:space="preserve"> STDEV(H50:I50)/SQRT(2)</f>
        <v>16.449999999999985</v>
      </c>
      <c r="T50">
        <f xml:space="preserve"> STDEV(J50:K50,S41)/SQRT(3)</f>
        <v>0.72701635320039493</v>
      </c>
      <c r="U50">
        <f xml:space="preserve"> STDEV(L50:M50)/SQRT(2)</f>
        <v>603.70729249999999</v>
      </c>
    </row>
    <row r="57" spans="1:21" x14ac:dyDescent="0.2">
      <c r="N57" t="s">
        <v>68</v>
      </c>
      <c r="O57" t="s">
        <v>64</v>
      </c>
      <c r="P57" t="s">
        <v>3</v>
      </c>
      <c r="Q57" t="s">
        <v>65</v>
      </c>
      <c r="S57" t="s">
        <v>66</v>
      </c>
      <c r="T57" t="s">
        <v>5</v>
      </c>
      <c r="U57" t="s">
        <v>67</v>
      </c>
    </row>
    <row r="58" spans="1:21" x14ac:dyDescent="0.2">
      <c r="N58">
        <v>1</v>
      </c>
      <c r="O58">
        <v>519.53333333333342</v>
      </c>
      <c r="P58">
        <v>3.0676030000000001</v>
      </c>
      <c r="Q58">
        <v>1749.7584000000004</v>
      </c>
      <c r="S58">
        <v>158.29644482566383</v>
      </c>
      <c r="T58">
        <v>0.49198852322691411</v>
      </c>
      <c r="U58">
        <v>662.93887716277447</v>
      </c>
    </row>
    <row r="59" spans="1:21" x14ac:dyDescent="0.2">
      <c r="N59">
        <v>25</v>
      </c>
      <c r="O59">
        <v>543.26666666666665</v>
      </c>
      <c r="P59">
        <v>1.8575442666666666</v>
      </c>
      <c r="Q59">
        <v>1149.2247866666669</v>
      </c>
      <c r="S59">
        <v>159.86829301369031</v>
      </c>
      <c r="T59">
        <v>0.7901193597289492</v>
      </c>
      <c r="U59">
        <v>618.45198152139085</v>
      </c>
    </row>
    <row r="60" spans="1:21" x14ac:dyDescent="0.2">
      <c r="N60">
        <v>50</v>
      </c>
      <c r="O60">
        <v>601.5333333333333</v>
      </c>
      <c r="P60">
        <v>2.3982703333333335</v>
      </c>
      <c r="Q60">
        <v>831.30928813333333</v>
      </c>
      <c r="S60">
        <v>210.76547260982866</v>
      </c>
      <c r="T60">
        <v>0.89442132693875576</v>
      </c>
      <c r="U60">
        <v>733.38035202671949</v>
      </c>
    </row>
    <row r="61" spans="1:21" x14ac:dyDescent="0.2">
      <c r="N61">
        <v>100</v>
      </c>
      <c r="O61">
        <v>503.8</v>
      </c>
      <c r="P61">
        <v>2.3587122666666667</v>
      </c>
      <c r="Q61">
        <v>790.31403453333326</v>
      </c>
      <c r="S61">
        <v>245.32153051318855</v>
      </c>
      <c r="T61">
        <v>0.92722419348569196</v>
      </c>
      <c r="U61">
        <v>714.69321258623302</v>
      </c>
    </row>
    <row r="62" spans="1:21" x14ac:dyDescent="0.2">
      <c r="N62">
        <v>250</v>
      </c>
      <c r="O62">
        <v>1023</v>
      </c>
      <c r="P62">
        <v>2.2730259999999998</v>
      </c>
      <c r="Q62">
        <v>2093.4317299999998</v>
      </c>
      <c r="S62">
        <v>291.79999999999995</v>
      </c>
      <c r="T62">
        <v>0.43654920505403172</v>
      </c>
      <c r="U62">
        <v>110.61895000000003</v>
      </c>
    </row>
    <row r="63" spans="1:21" x14ac:dyDescent="0.2">
      <c r="N63">
        <v>500</v>
      </c>
      <c r="O63">
        <v>1353.9</v>
      </c>
      <c r="P63">
        <v>1.8167897</v>
      </c>
      <c r="Q63">
        <v>2379.1853799999999</v>
      </c>
      <c r="S63">
        <v>165.09999999999931</v>
      </c>
      <c r="T63">
        <v>0.31301433380522153</v>
      </c>
      <c r="U63">
        <v>203.56049999999982</v>
      </c>
    </row>
    <row r="64" spans="1:21" x14ac:dyDescent="0.2">
      <c r="N64">
        <v>1000</v>
      </c>
      <c r="O64">
        <v>1223.5</v>
      </c>
      <c r="P64">
        <v>1.4324003000000003</v>
      </c>
      <c r="Q64">
        <v>1690.82134</v>
      </c>
      <c r="S64">
        <v>161.09999999999988</v>
      </c>
      <c r="T64">
        <v>0.37174836215699264</v>
      </c>
      <c r="U64">
        <v>321.61375999999927</v>
      </c>
    </row>
    <row r="65" spans="14:21" x14ac:dyDescent="0.2">
      <c r="N65">
        <v>2000</v>
      </c>
      <c r="O65">
        <v>1162</v>
      </c>
      <c r="P65">
        <v>1.4721119</v>
      </c>
      <c r="Q65">
        <v>1607.5533500000001</v>
      </c>
      <c r="S65">
        <v>148</v>
      </c>
      <c r="T65">
        <v>0.53250102550662481</v>
      </c>
      <c r="U65">
        <v>533.44004999999981</v>
      </c>
    </row>
    <row r="66" spans="14:21" x14ac:dyDescent="0.2">
      <c r="N66">
        <v>4000</v>
      </c>
      <c r="O66">
        <v>719.05</v>
      </c>
      <c r="P66">
        <v>1.6709300499999999</v>
      </c>
      <c r="Q66">
        <v>1177.6946674999999</v>
      </c>
      <c r="S66">
        <v>16.45</v>
      </c>
      <c r="T66">
        <v>0.72701635320039493</v>
      </c>
      <c r="U66">
        <v>603.70729249999999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analysis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Gemechu Mekonnen</dc:creator>
  <cp:lastModifiedBy>Gemechu Mekonnen</cp:lastModifiedBy>
  <dcterms:created xsi:type="dcterms:W3CDTF">2023-09-28T21:50:40Z</dcterms:created>
  <dcterms:modified xsi:type="dcterms:W3CDTF">2026-10-15T19:39:00Z</dcterms:modified>
</cp:coreProperties>
</file>