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gmekonn1_jh_edu/Documents/Data/Droplet_Data/EXTRA_DATA/20240301/"/>
    </mc:Choice>
  </mc:AlternateContent>
  <xr:revisionPtr revIDLastSave="271" documentId="8_{B1FFB625-DB8D-7543-855D-E38A630B6941}" xr6:coauthVersionLast="47" xr6:coauthVersionMax="47" xr10:uidLastSave="{D5C23103-0940-3042-A5A3-C4E5B1EECD4C}"/>
  <bookViews>
    <workbookView minimized="1" xWindow="-20" yWindow="500" windowWidth="28800" windowHeight="16180" xr2:uid="{0387CF30-A7E6-F148-BE01-72AA32C9769F}"/>
  </bookViews>
  <sheets>
    <sheet name="Sheet1" sheetId="1" r:id="rId1"/>
  </sheets>
  <definedNames>
    <definedName name="_xlchart.v1.0" hidden="1">Sheet1!$A$3:$A$24</definedName>
    <definedName name="_xlchart.v1.1" hidden="1">Sheet1!$D$3:$D$24</definedName>
    <definedName name="_xlchart.v1.10" hidden="1">Sheet1!$N$3:$N$24</definedName>
    <definedName name="_xlchart.v1.11" hidden="1">Sheet1!$S$3:$S$24</definedName>
    <definedName name="_xlchart.v1.12" hidden="1">Sheet1!$A$3:$A$24</definedName>
    <definedName name="_xlchart.v1.13" hidden="1">Sheet1!$D$3:$D$24</definedName>
    <definedName name="_xlchart.v1.14" hidden="1">Sheet1!$I$3:$I$24</definedName>
    <definedName name="_xlchart.v1.15" hidden="1">Sheet1!$AF$3:$AF$24</definedName>
    <definedName name="_xlchart.v1.16" hidden="1">Sheet1!$AI$3:$AI$24</definedName>
    <definedName name="_xlchart.v1.17" hidden="1">Sheet1!$AN$3:$AN$24</definedName>
    <definedName name="_xlchart.v1.18" hidden="1">Sheet1!$A$3:$A$24</definedName>
    <definedName name="_xlchart.v1.19" hidden="1">Sheet1!$D$3:$D$24</definedName>
    <definedName name="_xlchart.v1.2" hidden="1">Sheet1!$I$3:$I$24</definedName>
    <definedName name="_xlchart.v1.20" hidden="1">Sheet1!$I$3:$I$24</definedName>
    <definedName name="_xlchart.v1.21" hidden="1">Sheet1!$A$3:$A$24</definedName>
    <definedName name="_xlchart.v1.22" hidden="1">Sheet1!$D$3:$D$24</definedName>
    <definedName name="_xlchart.v1.23" hidden="1">Sheet1!$I$3:$I$24</definedName>
    <definedName name="_xlchart.v1.3" hidden="1">Sheet1!$A$3:$A$24</definedName>
    <definedName name="_xlchart.v1.4" hidden="1">Sheet1!$D$3:$D$24</definedName>
    <definedName name="_xlchart.v1.5" hidden="1">Sheet1!$I$3:$I$24</definedName>
    <definedName name="_xlchart.v1.6" hidden="1">Sheet1!$A$3:$A$24</definedName>
    <definedName name="_xlchart.v1.7" hidden="1">Sheet1!$D$3:$D$24</definedName>
    <definedName name="_xlchart.v1.8" hidden="1">Sheet1!$I$3:$I$24</definedName>
    <definedName name="_xlchart.v1.9" hidden="1">Sheet1!$K$3:$K$24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3" i="1"/>
  <c r="AM25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3" i="1"/>
  <c r="AL25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3" i="1"/>
  <c r="AH25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3" i="1"/>
  <c r="AG25" i="1"/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3" i="1"/>
  <c r="AC25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3" i="1"/>
  <c r="AB25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3" i="1"/>
  <c r="X4" i="1"/>
  <c r="X5" i="1"/>
  <c r="X25" i="1" s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3" i="1"/>
  <c r="W25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3" i="1"/>
  <c r="R25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3" i="1"/>
  <c r="Q25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3" i="1"/>
  <c r="M2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3" i="1"/>
  <c r="L25" i="1"/>
  <c r="I15" i="1"/>
  <c r="I23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H24" i="1"/>
  <c r="I24" i="1" s="1"/>
  <c r="H3" i="1"/>
  <c r="I3" i="1" s="1"/>
  <c r="G25" i="1"/>
  <c r="D4" i="1"/>
  <c r="D9" i="1"/>
  <c r="D10" i="1"/>
  <c r="D11" i="1"/>
  <c r="D12" i="1"/>
  <c r="D17" i="1"/>
  <c r="D18" i="1"/>
  <c r="D19" i="1"/>
  <c r="D20" i="1"/>
  <c r="D3" i="1"/>
  <c r="C4" i="1"/>
  <c r="C5" i="1"/>
  <c r="C25" i="1" s="1"/>
  <c r="C6" i="1"/>
  <c r="D6" i="1" s="1"/>
  <c r="C7" i="1"/>
  <c r="D7" i="1" s="1"/>
  <c r="C8" i="1"/>
  <c r="D8" i="1" s="1"/>
  <c r="C9" i="1"/>
  <c r="C10" i="1"/>
  <c r="C11" i="1"/>
  <c r="C12" i="1"/>
  <c r="C13" i="1"/>
  <c r="D13" i="1" s="1"/>
  <c r="C14" i="1"/>
  <c r="D14" i="1" s="1"/>
  <c r="C15" i="1"/>
  <c r="D15" i="1" s="1"/>
  <c r="C16" i="1"/>
  <c r="D16" i="1" s="1"/>
  <c r="C17" i="1"/>
  <c r="C18" i="1"/>
  <c r="C19" i="1"/>
  <c r="C20" i="1"/>
  <c r="C21" i="1"/>
  <c r="D21" i="1" s="1"/>
  <c r="C22" i="1"/>
  <c r="D22" i="1" s="1"/>
  <c r="C23" i="1"/>
  <c r="D23" i="1" s="1"/>
  <c r="C24" i="1"/>
  <c r="D24" i="1" s="1"/>
  <c r="C3" i="1"/>
  <c r="B25" i="1"/>
  <c r="D5" i="1" l="1"/>
  <c r="H25" i="1"/>
</calcChain>
</file>

<file path=xl/sharedStrings.xml><?xml version="1.0" encoding="utf-8"?>
<sst xmlns="http://schemas.openxmlformats.org/spreadsheetml/2006/main" count="30" uniqueCount="6">
  <si>
    <t>Distance_(microns)</t>
  </si>
  <si>
    <t>Gray_Value</t>
  </si>
  <si>
    <t>background subtraction</t>
  </si>
  <si>
    <t>normalization</t>
  </si>
  <si>
    <t>Cy3-FUS</t>
  </si>
  <si>
    <t>Cy5-DDX6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</si>
</sst>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/>
              <a:t>0.1 uM Cy3-FUS + 0.1 uM Cy3-DDX6 </a:t>
            </a:r>
          </a:p>
        </c:rich>
      </c:tx>
      <c:layout>
        <c:manualLayout>
          <c:xMode val="edge"/>
          <c:yMode val="edge"/>
          <c:x val="0.1596319160104987"/>
          <c:y val="3.8773068405511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6461942257217"/>
          <c:y val="0.1279053659959172"/>
          <c:w val="0.79850897637795271"/>
          <c:h val="0.687177657480315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Cy3-FUS</c:v>
                </c:pt>
              </c:strCache>
            </c:strRef>
          </c:tx>
          <c:spPr>
            <a:ln w="19050" cap="rnd">
              <a:solidFill>
                <a:srgbClr val="196B24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Sheet1!$A$3:$A$24</c:f>
              <c:numCache>
                <c:formatCode>General</c:formatCode>
                <c:ptCount val="22"/>
                <c:pt idx="0">
                  <c:v>0</c:v>
                </c:pt>
                <c:pt idx="1">
                  <c:v>0.12232</c:v>
                </c:pt>
                <c:pt idx="2">
                  <c:v>0.24464</c:v>
                </c:pt>
                <c:pt idx="3">
                  <c:v>0.36695</c:v>
                </c:pt>
                <c:pt idx="4">
                  <c:v>0.48926999999999998</c:v>
                </c:pt>
                <c:pt idx="5">
                  <c:v>0.61158999999999997</c:v>
                </c:pt>
                <c:pt idx="6">
                  <c:v>0.73390999999999995</c:v>
                </c:pt>
                <c:pt idx="7">
                  <c:v>0.85621999999999998</c:v>
                </c:pt>
                <c:pt idx="8">
                  <c:v>0.97853999999999997</c:v>
                </c:pt>
                <c:pt idx="9">
                  <c:v>1.1008599999999999</c:v>
                </c:pt>
                <c:pt idx="10">
                  <c:v>1.2231799999999999</c:v>
                </c:pt>
                <c:pt idx="11">
                  <c:v>1.3454900000000001</c:v>
                </c:pt>
                <c:pt idx="12">
                  <c:v>1.4678100000000001</c:v>
                </c:pt>
                <c:pt idx="13">
                  <c:v>1.59013</c:v>
                </c:pt>
                <c:pt idx="14">
                  <c:v>1.71245</c:v>
                </c:pt>
                <c:pt idx="15">
                  <c:v>1.83477</c:v>
                </c:pt>
                <c:pt idx="16">
                  <c:v>1.9570799999999999</c:v>
                </c:pt>
                <c:pt idx="17">
                  <c:v>2.0794000000000001</c:v>
                </c:pt>
                <c:pt idx="18">
                  <c:v>2.2017199999999999</c:v>
                </c:pt>
                <c:pt idx="19">
                  <c:v>2.3240400000000001</c:v>
                </c:pt>
                <c:pt idx="20">
                  <c:v>2.4463499999999998</c:v>
                </c:pt>
                <c:pt idx="21">
                  <c:v>2.56867</c:v>
                </c:pt>
              </c:numCache>
            </c:numRef>
          </c:xVal>
          <c:yVal>
            <c:numRef>
              <c:f>Sheet1!$D$3:$D$24</c:f>
              <c:numCache>
                <c:formatCode>General</c:formatCode>
                <c:ptCount val="22"/>
                <c:pt idx="0">
                  <c:v>0.38622478192044679</c:v>
                </c:pt>
                <c:pt idx="1">
                  <c:v>0.2640867602977332</c:v>
                </c:pt>
                <c:pt idx="2">
                  <c:v>0.17098784143343071</c:v>
                </c:pt>
                <c:pt idx="3">
                  <c:v>0</c:v>
                </c:pt>
                <c:pt idx="4">
                  <c:v>7.4850964938870126E-2</c:v>
                </c:pt>
                <c:pt idx="5">
                  <c:v>0.36433262604829697</c:v>
                </c:pt>
                <c:pt idx="6">
                  <c:v>0.35948267151662128</c:v>
                </c:pt>
                <c:pt idx="7">
                  <c:v>0.58318682429018853</c:v>
                </c:pt>
                <c:pt idx="8">
                  <c:v>0.74814590279882764</c:v>
                </c:pt>
                <c:pt idx="9">
                  <c:v>0.81516284395944849</c:v>
                </c:pt>
                <c:pt idx="10">
                  <c:v>0.92844969856185389</c:v>
                </c:pt>
                <c:pt idx="11">
                  <c:v>0.99999999999999978</c:v>
                </c:pt>
                <c:pt idx="12">
                  <c:v>0.65064160856825259</c:v>
                </c:pt>
                <c:pt idx="13">
                  <c:v>0.57703007645414395</c:v>
                </c:pt>
                <c:pt idx="14">
                  <c:v>0.35705769425078304</c:v>
                </c:pt>
                <c:pt idx="15">
                  <c:v>0.25959381630797179</c:v>
                </c:pt>
                <c:pt idx="16">
                  <c:v>0.23917685493920718</c:v>
                </c:pt>
                <c:pt idx="17">
                  <c:v>0.2261762823751301</c:v>
                </c:pt>
                <c:pt idx="18">
                  <c:v>0.17846485466976503</c:v>
                </c:pt>
                <c:pt idx="19">
                  <c:v>0.25180020881748694</c:v>
                </c:pt>
                <c:pt idx="20">
                  <c:v>0.44928766292816008</c:v>
                </c:pt>
                <c:pt idx="21">
                  <c:v>0.26603347815836426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4-144C-885A-987EEF3CDDC4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Cy5-DDX6</c:v>
                </c:pt>
              </c:strCache>
            </c:strRef>
          </c:tx>
          <c:spPr>
            <a:ln w="19050" cap="rnd">
              <a:solidFill>
                <a:srgbClr val="A02B93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Sheet1!$A$3:$A$24</c:f>
              <c:numCache>
                <c:formatCode>General</c:formatCode>
                <c:ptCount val="22"/>
                <c:pt idx="0">
                  <c:v>0</c:v>
                </c:pt>
                <c:pt idx="1">
                  <c:v>0.12232</c:v>
                </c:pt>
                <c:pt idx="2">
                  <c:v>0.24464</c:v>
                </c:pt>
                <c:pt idx="3">
                  <c:v>0.36695</c:v>
                </c:pt>
                <c:pt idx="4">
                  <c:v>0.48926999999999998</c:v>
                </c:pt>
                <c:pt idx="5">
                  <c:v>0.61158999999999997</c:v>
                </c:pt>
                <c:pt idx="6">
                  <c:v>0.73390999999999995</c:v>
                </c:pt>
                <c:pt idx="7">
                  <c:v>0.85621999999999998</c:v>
                </c:pt>
                <c:pt idx="8">
                  <c:v>0.97853999999999997</c:v>
                </c:pt>
                <c:pt idx="9">
                  <c:v>1.1008599999999999</c:v>
                </c:pt>
                <c:pt idx="10">
                  <c:v>1.2231799999999999</c:v>
                </c:pt>
                <c:pt idx="11">
                  <c:v>1.3454900000000001</c:v>
                </c:pt>
                <c:pt idx="12">
                  <c:v>1.4678100000000001</c:v>
                </c:pt>
                <c:pt idx="13">
                  <c:v>1.59013</c:v>
                </c:pt>
                <c:pt idx="14">
                  <c:v>1.71245</c:v>
                </c:pt>
                <c:pt idx="15">
                  <c:v>1.83477</c:v>
                </c:pt>
                <c:pt idx="16">
                  <c:v>1.9570799999999999</c:v>
                </c:pt>
                <c:pt idx="17">
                  <c:v>2.0794000000000001</c:v>
                </c:pt>
                <c:pt idx="18">
                  <c:v>2.2017199999999999</c:v>
                </c:pt>
                <c:pt idx="19">
                  <c:v>2.3240400000000001</c:v>
                </c:pt>
                <c:pt idx="20">
                  <c:v>2.4463499999999998</c:v>
                </c:pt>
                <c:pt idx="21">
                  <c:v>2.56867</c:v>
                </c:pt>
              </c:numCache>
            </c:numRef>
          </c:xVal>
          <c:yVal>
            <c:numRef>
              <c:f>Sheet1!$I$3:$I$24</c:f>
              <c:numCache>
                <c:formatCode>General</c:formatCode>
                <c:ptCount val="22"/>
                <c:pt idx="0">
                  <c:v>0</c:v>
                </c:pt>
                <c:pt idx="1">
                  <c:v>8.0421039969144677E-3</c:v>
                </c:pt>
                <c:pt idx="2">
                  <c:v>1.3630824429640052E-2</c:v>
                </c:pt>
                <c:pt idx="3">
                  <c:v>1.6697685400684396E-2</c:v>
                </c:pt>
                <c:pt idx="4">
                  <c:v>2.8070383402775147E-2</c:v>
                </c:pt>
                <c:pt idx="5">
                  <c:v>6.0363388699442806E-2</c:v>
                </c:pt>
                <c:pt idx="6">
                  <c:v>0.15508878939084769</c:v>
                </c:pt>
                <c:pt idx="7">
                  <c:v>0.32753827921034051</c:v>
                </c:pt>
                <c:pt idx="8">
                  <c:v>0.56772498606590005</c:v>
                </c:pt>
                <c:pt idx="9">
                  <c:v>0.83562049552876927</c:v>
                </c:pt>
                <c:pt idx="10">
                  <c:v>1</c:v>
                </c:pt>
                <c:pt idx="11">
                  <c:v>0.97845218694568814</c:v>
                </c:pt>
                <c:pt idx="12">
                  <c:v>0.66862531698597671</c:v>
                </c:pt>
                <c:pt idx="13">
                  <c:v>0.33545719673353308</c:v>
                </c:pt>
                <c:pt idx="14">
                  <c:v>0.12402422942038439</c:v>
                </c:pt>
                <c:pt idx="15">
                  <c:v>5.4555825961799219E-2</c:v>
                </c:pt>
                <c:pt idx="16">
                  <c:v>2.4527259851476569E-2</c:v>
                </c:pt>
                <c:pt idx="17">
                  <c:v>1.8478058735486021E-2</c:v>
                </c:pt>
                <c:pt idx="18">
                  <c:v>1.1141843920019798E-2</c:v>
                </c:pt>
                <c:pt idx="19">
                  <c:v>8.0572721534652742E-3</c:v>
                </c:pt>
                <c:pt idx="20">
                  <c:v>8.2775172936712035E-3</c:v>
                </c:pt>
                <c:pt idx="21">
                  <c:v>8.8881890299507983E-3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34-144C-885A-987EEF3C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40720"/>
        <c:axId val="2059305024"/>
      </c:scatterChart>
      <c:valAx>
        <c:axId val="806340720"/>
        <c:scaling>
          <c:orientation val="minMax"/>
          <c:max val="2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Distance (um)</a:t>
                </a:r>
              </a:p>
            </c:rich>
          </c:tx>
          <c:layout>
            <c:manualLayout>
              <c:xMode val="edge"/>
              <c:yMode val="edge"/>
              <c:x val="0.41631244094488179"/>
              <c:y val="0.91800627460629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9305024"/>
        <c:crosses val="autoZero"/>
        <c:crossBetween val="midCat"/>
      </c:valAx>
      <c:valAx>
        <c:axId val="205930502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/>
                  <a:t>Norm.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06340720"/>
        <c:crosses val="autoZero"/>
        <c:crossBetween val="midCat"/>
      </c:valAx>
      <c:spPr>
        <a:noFill/>
        <a:ln w="317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61136881889763772"/>
          <c:y val="0.13874354084645668"/>
          <c:w val="0.33215118110236219"/>
          <c:h val="0.217014435695538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 sz="1680" b="0" i="0" u="none" strike="noStrike" kern="1200" spc="0" baseline="0">
                <a:solidFill>
                  <a:sysClr val="windowText" lastClr="000000"/>
                </a:solidFill>
                <a:latin typeface="Helvetica" pitchFamily="2" charset="0"/>
              </a:rPr>
              <a:t>0.2 uM Cy3-FUS + 0.1 uM Cy3-DDX6 </a:t>
            </a:r>
          </a:p>
        </c:rich>
      </c:tx>
      <c:layout>
        <c:manualLayout>
          <c:xMode val="edge"/>
          <c:yMode val="edge"/>
          <c:x val="0.15895385917451296"/>
          <c:y val="3.8772892152525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6461942257217"/>
          <c:y val="0.1279053659959172"/>
          <c:w val="0.79850897637795271"/>
          <c:h val="0.687177657480315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Cy3-FUS</c:v>
                </c:pt>
              </c:strCache>
            </c:strRef>
          </c:tx>
          <c:spPr>
            <a:ln w="19050" cap="rnd">
              <a:solidFill>
                <a:srgbClr val="196B24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Sheet1!$K$3:$K$24</c:f>
              <c:numCache>
                <c:formatCode>General</c:formatCode>
                <c:ptCount val="22"/>
                <c:pt idx="0">
                  <c:v>0</c:v>
                </c:pt>
                <c:pt idx="1">
                  <c:v>9.9979999999999999E-2</c:v>
                </c:pt>
                <c:pt idx="2">
                  <c:v>0.19996</c:v>
                </c:pt>
                <c:pt idx="3">
                  <c:v>0.29994999999999999</c:v>
                </c:pt>
                <c:pt idx="4">
                  <c:v>0.39993000000000001</c:v>
                </c:pt>
                <c:pt idx="5">
                  <c:v>0.49991000000000002</c:v>
                </c:pt>
                <c:pt idx="6">
                  <c:v>0.59989000000000003</c:v>
                </c:pt>
                <c:pt idx="7">
                  <c:v>0.69986999999999999</c:v>
                </c:pt>
                <c:pt idx="8">
                  <c:v>0.79986000000000002</c:v>
                </c:pt>
                <c:pt idx="9">
                  <c:v>0.89983999999999997</c:v>
                </c:pt>
                <c:pt idx="10">
                  <c:v>0.99982000000000004</c:v>
                </c:pt>
                <c:pt idx="11">
                  <c:v>1.0998000000000001</c:v>
                </c:pt>
                <c:pt idx="12">
                  <c:v>1.1997800000000001</c:v>
                </c:pt>
                <c:pt idx="13">
                  <c:v>1.2997700000000001</c:v>
                </c:pt>
                <c:pt idx="14">
                  <c:v>1.39975</c:v>
                </c:pt>
                <c:pt idx="15">
                  <c:v>1.49973</c:v>
                </c:pt>
                <c:pt idx="16">
                  <c:v>1.59971</c:v>
                </c:pt>
                <c:pt idx="17">
                  <c:v>1.6996899999999999</c:v>
                </c:pt>
                <c:pt idx="18">
                  <c:v>1.7996799999999999</c:v>
                </c:pt>
                <c:pt idx="19">
                  <c:v>1.8996599999999999</c:v>
                </c:pt>
                <c:pt idx="20">
                  <c:v>1.9996400000000001</c:v>
                </c:pt>
                <c:pt idx="21">
                  <c:v>2.0996199999999998</c:v>
                </c:pt>
              </c:numCache>
            </c:numRef>
          </c:xVal>
          <c:yVal>
            <c:numRef>
              <c:f>Sheet1!$N$3:$N$24</c:f>
              <c:numCache>
                <c:formatCode>General</c:formatCode>
                <c:ptCount val="22"/>
                <c:pt idx="0">
                  <c:v>5.6464276888984664E-2</c:v>
                </c:pt>
                <c:pt idx="1">
                  <c:v>0.12914205546388649</c:v>
                </c:pt>
                <c:pt idx="2">
                  <c:v>9.5108847279017542E-2</c:v>
                </c:pt>
                <c:pt idx="3">
                  <c:v>4.2418952419669947E-2</c:v>
                </c:pt>
                <c:pt idx="4">
                  <c:v>0</c:v>
                </c:pt>
                <c:pt idx="5">
                  <c:v>5.5758822169612076E-3</c:v>
                </c:pt>
                <c:pt idx="6">
                  <c:v>0.20840407808626471</c:v>
                </c:pt>
                <c:pt idx="7">
                  <c:v>0.38904034244446034</c:v>
                </c:pt>
                <c:pt idx="8">
                  <c:v>0.43731417047293397</c:v>
                </c:pt>
                <c:pt idx="9">
                  <c:v>0.64941291819116664</c:v>
                </c:pt>
                <c:pt idx="10">
                  <c:v>0.98917107077663813</c:v>
                </c:pt>
                <c:pt idx="11">
                  <c:v>1.0000000000000002</c:v>
                </c:pt>
                <c:pt idx="12">
                  <c:v>0.87234856637252811</c:v>
                </c:pt>
                <c:pt idx="13">
                  <c:v>0.56600186527010576</c:v>
                </c:pt>
                <c:pt idx="14">
                  <c:v>0.31877784951893601</c:v>
                </c:pt>
                <c:pt idx="15">
                  <c:v>0.23122573753895939</c:v>
                </c:pt>
                <c:pt idx="16">
                  <c:v>0.19241377111382152</c:v>
                </c:pt>
                <c:pt idx="17">
                  <c:v>0.18939665686204168</c:v>
                </c:pt>
                <c:pt idx="18">
                  <c:v>0.11784680871415926</c:v>
                </c:pt>
                <c:pt idx="19">
                  <c:v>0.15074810085212545</c:v>
                </c:pt>
                <c:pt idx="20">
                  <c:v>0.23858319184382745</c:v>
                </c:pt>
                <c:pt idx="21">
                  <c:v>0.19086735059903873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4-144C-885A-987EEF3CDDC4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Cy5-DDX6</c:v>
                </c:pt>
              </c:strCache>
            </c:strRef>
          </c:tx>
          <c:spPr>
            <a:ln w="19050" cap="rnd">
              <a:solidFill>
                <a:srgbClr val="A02B93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Sheet1!$K$3:$K$24</c:f>
              <c:numCache>
                <c:formatCode>General</c:formatCode>
                <c:ptCount val="22"/>
                <c:pt idx="0">
                  <c:v>0</c:v>
                </c:pt>
                <c:pt idx="1">
                  <c:v>9.9979999999999999E-2</c:v>
                </c:pt>
                <c:pt idx="2">
                  <c:v>0.19996</c:v>
                </c:pt>
                <c:pt idx="3">
                  <c:v>0.29994999999999999</c:v>
                </c:pt>
                <c:pt idx="4">
                  <c:v>0.39993000000000001</c:v>
                </c:pt>
                <c:pt idx="5">
                  <c:v>0.49991000000000002</c:v>
                </c:pt>
                <c:pt idx="6">
                  <c:v>0.59989000000000003</c:v>
                </c:pt>
                <c:pt idx="7">
                  <c:v>0.69986999999999999</c:v>
                </c:pt>
                <c:pt idx="8">
                  <c:v>0.79986000000000002</c:v>
                </c:pt>
                <c:pt idx="9">
                  <c:v>0.89983999999999997</c:v>
                </c:pt>
                <c:pt idx="10">
                  <c:v>0.99982000000000004</c:v>
                </c:pt>
                <c:pt idx="11">
                  <c:v>1.0998000000000001</c:v>
                </c:pt>
                <c:pt idx="12">
                  <c:v>1.1997800000000001</c:v>
                </c:pt>
                <c:pt idx="13">
                  <c:v>1.2997700000000001</c:v>
                </c:pt>
                <c:pt idx="14">
                  <c:v>1.39975</c:v>
                </c:pt>
                <c:pt idx="15">
                  <c:v>1.49973</c:v>
                </c:pt>
                <c:pt idx="16">
                  <c:v>1.59971</c:v>
                </c:pt>
                <c:pt idx="17">
                  <c:v>1.6996899999999999</c:v>
                </c:pt>
                <c:pt idx="18">
                  <c:v>1.7996799999999999</c:v>
                </c:pt>
                <c:pt idx="19">
                  <c:v>1.8996599999999999</c:v>
                </c:pt>
                <c:pt idx="20">
                  <c:v>1.9996400000000001</c:v>
                </c:pt>
                <c:pt idx="21">
                  <c:v>2.0996199999999998</c:v>
                </c:pt>
              </c:numCache>
            </c:numRef>
          </c:xVal>
          <c:yVal>
            <c:numRef>
              <c:f>Sheet1!$S$3:$S$24</c:f>
              <c:numCache>
                <c:formatCode>General</c:formatCode>
                <c:ptCount val="22"/>
                <c:pt idx="0">
                  <c:v>3.2238035577588142E-2</c:v>
                </c:pt>
                <c:pt idx="1">
                  <c:v>3.0374728934419969E-2</c:v>
                </c:pt>
                <c:pt idx="2">
                  <c:v>2.8413580231719519E-2</c:v>
                </c:pt>
                <c:pt idx="3">
                  <c:v>2.4282676171089465E-2</c:v>
                </c:pt>
                <c:pt idx="4">
                  <c:v>4.7757386152456345E-2</c:v>
                </c:pt>
                <c:pt idx="5">
                  <c:v>9.8730637733313295E-2</c:v>
                </c:pt>
                <c:pt idx="6">
                  <c:v>0.15756325273773156</c:v>
                </c:pt>
                <c:pt idx="7">
                  <c:v>0.29321849916434267</c:v>
                </c:pt>
                <c:pt idx="8">
                  <c:v>0.47372417646523102</c:v>
                </c:pt>
                <c:pt idx="9">
                  <c:v>0.72510688783484756</c:v>
                </c:pt>
                <c:pt idx="10">
                  <c:v>0.92946941297225716</c:v>
                </c:pt>
                <c:pt idx="11">
                  <c:v>1</c:v>
                </c:pt>
                <c:pt idx="12">
                  <c:v>0.66509339916852706</c:v>
                </c:pt>
                <c:pt idx="13">
                  <c:v>0.35137483477614478</c:v>
                </c:pt>
                <c:pt idx="14">
                  <c:v>0.14243280896553251</c:v>
                </c:pt>
                <c:pt idx="15">
                  <c:v>7.7560446701307226E-2</c:v>
                </c:pt>
                <c:pt idx="16">
                  <c:v>4.9392394656715882E-2</c:v>
                </c:pt>
                <c:pt idx="17">
                  <c:v>2.8331737502676774E-2</c:v>
                </c:pt>
                <c:pt idx="18">
                  <c:v>1.0610017550034805E-2</c:v>
                </c:pt>
                <c:pt idx="19">
                  <c:v>2.6210595495080782E-2</c:v>
                </c:pt>
                <c:pt idx="20">
                  <c:v>3.2982004445352417E-2</c:v>
                </c:pt>
                <c:pt idx="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34-144C-885A-987EEF3C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40720"/>
        <c:axId val="2059305024"/>
      </c:scatterChart>
      <c:valAx>
        <c:axId val="806340720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Distance (um)</a:t>
                </a:r>
              </a:p>
            </c:rich>
          </c:tx>
          <c:layout>
            <c:manualLayout>
              <c:xMode val="edge"/>
              <c:yMode val="edge"/>
              <c:x val="0.43853455818022746"/>
              <c:y val="0.918006342957130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9305024"/>
        <c:crosses val="autoZero"/>
        <c:crossBetween val="midCat"/>
      </c:valAx>
      <c:valAx>
        <c:axId val="205930502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Norm.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06340720"/>
        <c:crosses val="autoZero"/>
        <c:crossBetween val="midCat"/>
      </c:valAx>
      <c:spPr>
        <a:noFill/>
        <a:ln w="317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61136881889763772"/>
          <c:y val="0.13874354084645668"/>
          <c:w val="0.33215118110236219"/>
          <c:h val="0.217014435695538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 sz="1680" b="0" i="0" u="none" strike="noStrike" kern="1200" spc="0" baseline="0">
                <a:solidFill>
                  <a:sysClr val="windowText" lastClr="000000"/>
                </a:solidFill>
                <a:latin typeface="Helvetica" pitchFamily="2" charset="0"/>
              </a:rPr>
              <a:t>0.4 uM Cy3-FUS + 0.1 uM Cy3-DDX6 </a:t>
            </a:r>
          </a:p>
        </c:rich>
      </c:tx>
      <c:layout>
        <c:manualLayout>
          <c:xMode val="edge"/>
          <c:yMode val="edge"/>
          <c:x val="0.16355237322433933"/>
          <c:y val="5.0477319197459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6461942257217"/>
          <c:y val="0.1279053659959172"/>
          <c:w val="0.79850897637795271"/>
          <c:h val="0.687177657480315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Cy3-FUS</c:v>
                </c:pt>
              </c:strCache>
            </c:strRef>
          </c:tx>
          <c:spPr>
            <a:ln w="19050" cap="rnd">
              <a:solidFill>
                <a:srgbClr val="196B24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Sheet1!$V$3:$V$24</c:f>
              <c:numCache>
                <c:formatCode>General</c:formatCode>
                <c:ptCount val="22"/>
                <c:pt idx="0">
                  <c:v>0</c:v>
                </c:pt>
                <c:pt idx="1">
                  <c:v>0.10333000000000001</c:v>
                </c:pt>
                <c:pt idx="2">
                  <c:v>0.20666000000000001</c:v>
                </c:pt>
                <c:pt idx="3">
                  <c:v>0.30998999999999999</c:v>
                </c:pt>
                <c:pt idx="4">
                  <c:v>0.41332000000000002</c:v>
                </c:pt>
                <c:pt idx="5">
                  <c:v>0.51665000000000005</c:v>
                </c:pt>
                <c:pt idx="6">
                  <c:v>0.61997999999999998</c:v>
                </c:pt>
                <c:pt idx="7">
                  <c:v>0.72331000000000001</c:v>
                </c:pt>
                <c:pt idx="8">
                  <c:v>0.82664000000000004</c:v>
                </c:pt>
                <c:pt idx="9">
                  <c:v>0.92996999999999996</c:v>
                </c:pt>
                <c:pt idx="10">
                  <c:v>1.0333000000000001</c:v>
                </c:pt>
                <c:pt idx="11">
                  <c:v>1.13663</c:v>
                </c:pt>
                <c:pt idx="12">
                  <c:v>1.23996</c:v>
                </c:pt>
                <c:pt idx="13">
                  <c:v>1.3432900000000001</c:v>
                </c:pt>
                <c:pt idx="14">
                  <c:v>1.44662</c:v>
                </c:pt>
                <c:pt idx="15">
                  <c:v>1.54996</c:v>
                </c:pt>
                <c:pt idx="16">
                  <c:v>1.6532899999999999</c:v>
                </c:pt>
                <c:pt idx="17">
                  <c:v>1.7566200000000001</c:v>
                </c:pt>
                <c:pt idx="18">
                  <c:v>1.85995</c:v>
                </c:pt>
                <c:pt idx="19">
                  <c:v>1.9632799999999999</c:v>
                </c:pt>
                <c:pt idx="20">
                  <c:v>2.0666099999999998</c:v>
                </c:pt>
                <c:pt idx="21">
                  <c:v>2.16994</c:v>
                </c:pt>
              </c:numCache>
            </c:numRef>
          </c:xVal>
          <c:yVal>
            <c:numRef>
              <c:f>Sheet1!$Y$3:$Y$24</c:f>
              <c:numCache>
                <c:formatCode>General</c:formatCode>
                <c:ptCount val="22"/>
                <c:pt idx="0">
                  <c:v>0.15911363967613365</c:v>
                </c:pt>
                <c:pt idx="1">
                  <c:v>0.30947726050529978</c:v>
                </c:pt>
                <c:pt idx="2">
                  <c:v>0.30183795628508686</c:v>
                </c:pt>
                <c:pt idx="3">
                  <c:v>0.35913776379472367</c:v>
                </c:pt>
                <c:pt idx="4">
                  <c:v>0.16125465520100937</c:v>
                </c:pt>
                <c:pt idx="5">
                  <c:v>0.18443391247970811</c:v>
                </c:pt>
                <c:pt idx="6">
                  <c:v>0.16248096456267472</c:v>
                </c:pt>
                <c:pt idx="7">
                  <c:v>0.20798508325333862</c:v>
                </c:pt>
                <c:pt idx="8">
                  <c:v>0.36460087148378384</c:v>
                </c:pt>
                <c:pt idx="9">
                  <c:v>0.54034507541300003</c:v>
                </c:pt>
                <c:pt idx="10">
                  <c:v>1</c:v>
                </c:pt>
                <c:pt idx="11">
                  <c:v>0.91036382186348741</c:v>
                </c:pt>
                <c:pt idx="12">
                  <c:v>0.87689663317769917</c:v>
                </c:pt>
                <c:pt idx="13">
                  <c:v>0.69934814621226193</c:v>
                </c:pt>
                <c:pt idx="14">
                  <c:v>0.38955928250850608</c:v>
                </c:pt>
                <c:pt idx="15">
                  <c:v>0.21384020786948851</c:v>
                </c:pt>
                <c:pt idx="16">
                  <c:v>0</c:v>
                </c:pt>
                <c:pt idx="17">
                  <c:v>0.14232224796578388</c:v>
                </c:pt>
                <c:pt idx="18">
                  <c:v>0.24449794191113289</c:v>
                </c:pt>
                <c:pt idx="19">
                  <c:v>0.29059008599243086</c:v>
                </c:pt>
                <c:pt idx="20">
                  <c:v>0.16539596222565092</c:v>
                </c:pt>
                <c:pt idx="21">
                  <c:v>0.15272577410778471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4-144C-885A-987EEF3CDDC4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Cy5-DDX6</c:v>
                </c:pt>
              </c:strCache>
            </c:strRef>
          </c:tx>
          <c:spPr>
            <a:ln w="19050" cap="rnd">
              <a:solidFill>
                <a:srgbClr val="A02B93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Sheet1!$V$3:$V$24</c:f>
              <c:numCache>
                <c:formatCode>General</c:formatCode>
                <c:ptCount val="22"/>
                <c:pt idx="0">
                  <c:v>0</c:v>
                </c:pt>
                <c:pt idx="1">
                  <c:v>0.10333000000000001</c:v>
                </c:pt>
                <c:pt idx="2">
                  <c:v>0.20666000000000001</c:v>
                </c:pt>
                <c:pt idx="3">
                  <c:v>0.30998999999999999</c:v>
                </c:pt>
                <c:pt idx="4">
                  <c:v>0.41332000000000002</c:v>
                </c:pt>
                <c:pt idx="5">
                  <c:v>0.51665000000000005</c:v>
                </c:pt>
                <c:pt idx="6">
                  <c:v>0.61997999999999998</c:v>
                </c:pt>
                <c:pt idx="7">
                  <c:v>0.72331000000000001</c:v>
                </c:pt>
                <c:pt idx="8">
                  <c:v>0.82664000000000004</c:v>
                </c:pt>
                <c:pt idx="9">
                  <c:v>0.92996999999999996</c:v>
                </c:pt>
                <c:pt idx="10">
                  <c:v>1.0333000000000001</c:v>
                </c:pt>
                <c:pt idx="11">
                  <c:v>1.13663</c:v>
                </c:pt>
                <c:pt idx="12">
                  <c:v>1.23996</c:v>
                </c:pt>
                <c:pt idx="13">
                  <c:v>1.3432900000000001</c:v>
                </c:pt>
                <c:pt idx="14">
                  <c:v>1.44662</c:v>
                </c:pt>
                <c:pt idx="15">
                  <c:v>1.54996</c:v>
                </c:pt>
                <c:pt idx="16">
                  <c:v>1.6532899999999999</c:v>
                </c:pt>
                <c:pt idx="17">
                  <c:v>1.7566200000000001</c:v>
                </c:pt>
                <c:pt idx="18">
                  <c:v>1.85995</c:v>
                </c:pt>
                <c:pt idx="19">
                  <c:v>1.9632799999999999</c:v>
                </c:pt>
                <c:pt idx="20">
                  <c:v>2.0666099999999998</c:v>
                </c:pt>
                <c:pt idx="21">
                  <c:v>2.16994</c:v>
                </c:pt>
              </c:numCache>
            </c:numRef>
          </c:xVal>
          <c:yVal>
            <c:numRef>
              <c:f>Sheet1!$AD$3:$AD$24</c:f>
              <c:numCache>
                <c:formatCode>General</c:formatCode>
                <c:ptCount val="22"/>
                <c:pt idx="0">
                  <c:v>0</c:v>
                </c:pt>
                <c:pt idx="1">
                  <c:v>2.2255906157561629E-2</c:v>
                </c:pt>
                <c:pt idx="2">
                  <c:v>1.2071654070124317E-2</c:v>
                </c:pt>
                <c:pt idx="3">
                  <c:v>1.2490189535349123E-2</c:v>
                </c:pt>
                <c:pt idx="4">
                  <c:v>2.6186745999875582E-2</c:v>
                </c:pt>
                <c:pt idx="5">
                  <c:v>3.317176356139747E-2</c:v>
                </c:pt>
                <c:pt idx="6">
                  <c:v>4.989355292360996E-2</c:v>
                </c:pt>
                <c:pt idx="7">
                  <c:v>0.11021189938247719</c:v>
                </c:pt>
                <c:pt idx="8">
                  <c:v>0.27541064217912586</c:v>
                </c:pt>
                <c:pt idx="9">
                  <c:v>0.48641639487922855</c:v>
                </c:pt>
                <c:pt idx="10">
                  <c:v>0.7775896549211686</c:v>
                </c:pt>
                <c:pt idx="11">
                  <c:v>1</c:v>
                </c:pt>
                <c:pt idx="12">
                  <c:v>0.93031351234097392</c:v>
                </c:pt>
                <c:pt idx="13">
                  <c:v>0.63352628772017616</c:v>
                </c:pt>
                <c:pt idx="14">
                  <c:v>0.31854042244135261</c:v>
                </c:pt>
                <c:pt idx="15">
                  <c:v>9.6483736503645237E-2</c:v>
                </c:pt>
                <c:pt idx="16">
                  <c:v>3.690697633411507E-2</c:v>
                </c:pt>
                <c:pt idx="17">
                  <c:v>5.2493263675014263E-3</c:v>
                </c:pt>
                <c:pt idx="18">
                  <c:v>1.5553682829299744E-2</c:v>
                </c:pt>
                <c:pt idx="19">
                  <c:v>8.2406239571962657E-3</c:v>
                </c:pt>
                <c:pt idx="20">
                  <c:v>4.2552214628180356E-3</c:v>
                </c:pt>
                <c:pt idx="21">
                  <c:v>5.1069311535775711E-3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34-144C-885A-987EEF3C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40720"/>
        <c:axId val="2059305024"/>
      </c:scatterChart>
      <c:valAx>
        <c:axId val="806340720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Distance (um)</a:t>
                </a:r>
              </a:p>
            </c:rich>
          </c:tx>
          <c:layout>
            <c:manualLayout>
              <c:xMode val="edge"/>
              <c:yMode val="edge"/>
              <c:x val="0.41631244094488179"/>
              <c:y val="0.91800627460629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9305024"/>
        <c:crosses val="autoZero"/>
        <c:crossBetween val="midCat"/>
      </c:valAx>
      <c:valAx>
        <c:axId val="205930502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Norm. Intensity</a:t>
                </a:r>
              </a:p>
            </c:rich>
          </c:tx>
          <c:layout>
            <c:manualLayout>
              <c:xMode val="edge"/>
              <c:yMode val="edge"/>
              <c:x val="8.8114785054980473E-3"/>
              <c:y val="0.28397481740344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06340720"/>
        <c:crosses val="autoZero"/>
        <c:crossBetween val="midCat"/>
      </c:valAx>
      <c:spPr>
        <a:noFill/>
        <a:ln w="317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67247987751531058"/>
          <c:y val="0.13874354084645668"/>
          <c:w val="0.27104002624671913"/>
          <c:h val="0.217014435695538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US" sz="1680" b="0" i="0" u="none" strike="noStrike" kern="1200" spc="0" baseline="0">
                <a:solidFill>
                  <a:sysClr val="windowText" lastClr="000000"/>
                </a:solidFill>
                <a:latin typeface="Helvetica" pitchFamily="2" charset="0"/>
              </a:rPr>
              <a:t>0.8 uM Cy3-FUS + 0.1 uM Cy3-DDX6 </a:t>
            </a:r>
          </a:p>
        </c:rich>
      </c:tx>
      <c:layout>
        <c:manualLayout>
          <c:xMode val="edge"/>
          <c:yMode val="edge"/>
          <c:x val="0.1596319160104987"/>
          <c:y val="3.8773068405511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16461942257217"/>
          <c:y val="0.1279053659959172"/>
          <c:w val="0.79850897637795271"/>
          <c:h val="0.687177657480315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Cy3-FUS</c:v>
                </c:pt>
              </c:strCache>
            </c:strRef>
          </c:tx>
          <c:spPr>
            <a:ln w="19050" cap="rnd">
              <a:solidFill>
                <a:srgbClr val="196B24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Sheet1!$AF$3:$AF$24</c:f>
              <c:numCache>
                <c:formatCode>General</c:formatCode>
                <c:ptCount val="22"/>
                <c:pt idx="0">
                  <c:v>0</c:v>
                </c:pt>
                <c:pt idx="1">
                  <c:v>0.10092</c:v>
                </c:pt>
                <c:pt idx="2">
                  <c:v>0.20185</c:v>
                </c:pt>
                <c:pt idx="3">
                  <c:v>0.30276999999999998</c:v>
                </c:pt>
                <c:pt idx="4">
                  <c:v>0.40368999999999999</c:v>
                </c:pt>
                <c:pt idx="5">
                  <c:v>0.50461999999999996</c:v>
                </c:pt>
                <c:pt idx="6">
                  <c:v>0.60553999999999997</c:v>
                </c:pt>
                <c:pt idx="7">
                  <c:v>0.70645999999999998</c:v>
                </c:pt>
                <c:pt idx="8">
                  <c:v>0.80739000000000005</c:v>
                </c:pt>
                <c:pt idx="9">
                  <c:v>0.90830999999999995</c:v>
                </c:pt>
                <c:pt idx="10">
                  <c:v>1.0092300000000001</c:v>
                </c:pt>
                <c:pt idx="11">
                  <c:v>1.11016</c:v>
                </c:pt>
                <c:pt idx="12">
                  <c:v>1.2110799999999999</c:v>
                </c:pt>
                <c:pt idx="13">
                  <c:v>1.3120000000000001</c:v>
                </c:pt>
                <c:pt idx="14">
                  <c:v>1.41293</c:v>
                </c:pt>
                <c:pt idx="15">
                  <c:v>1.5138499999999999</c:v>
                </c:pt>
                <c:pt idx="16">
                  <c:v>1.61477</c:v>
                </c:pt>
                <c:pt idx="17">
                  <c:v>1.7157</c:v>
                </c:pt>
                <c:pt idx="18">
                  <c:v>1.8166199999999999</c:v>
                </c:pt>
                <c:pt idx="19">
                  <c:v>1.91754</c:v>
                </c:pt>
                <c:pt idx="20">
                  <c:v>2.0184700000000002</c:v>
                </c:pt>
                <c:pt idx="21">
                  <c:v>2.1193900000000001</c:v>
                </c:pt>
              </c:numCache>
            </c:numRef>
          </c:xVal>
          <c:yVal>
            <c:numRef>
              <c:f>Sheet1!$AI$3:$AI$24</c:f>
              <c:numCache>
                <c:formatCode>General</c:formatCode>
                <c:ptCount val="22"/>
                <c:pt idx="0">
                  <c:v>0</c:v>
                </c:pt>
                <c:pt idx="1">
                  <c:v>5.1738949617968336E-2</c:v>
                </c:pt>
                <c:pt idx="2">
                  <c:v>0.1096310822255884</c:v>
                </c:pt>
                <c:pt idx="3">
                  <c:v>0.17275964337644895</c:v>
                </c:pt>
                <c:pt idx="4">
                  <c:v>0.11918414925490917</c:v>
                </c:pt>
                <c:pt idx="5">
                  <c:v>8.3549114664124582E-2</c:v>
                </c:pt>
                <c:pt idx="6">
                  <c:v>1.3387043406198014E-2</c:v>
                </c:pt>
                <c:pt idx="7">
                  <c:v>9.6499030122365437E-2</c:v>
                </c:pt>
                <c:pt idx="8">
                  <c:v>0.22204885511940547</c:v>
                </c:pt>
                <c:pt idx="9">
                  <c:v>0.28051471815871998</c:v>
                </c:pt>
                <c:pt idx="10">
                  <c:v>0.43852129329160366</c:v>
                </c:pt>
                <c:pt idx="11">
                  <c:v>0.78491483594041689</c:v>
                </c:pt>
                <c:pt idx="12">
                  <c:v>0.97678972020775701</c:v>
                </c:pt>
                <c:pt idx="13">
                  <c:v>1</c:v>
                </c:pt>
                <c:pt idx="14">
                  <c:v>0.5206163504066198</c:v>
                </c:pt>
                <c:pt idx="15">
                  <c:v>0.28603042289093328</c:v>
                </c:pt>
                <c:pt idx="16">
                  <c:v>0.2151367694423279</c:v>
                </c:pt>
                <c:pt idx="17">
                  <c:v>0.2282445366595531</c:v>
                </c:pt>
                <c:pt idx="18">
                  <c:v>0.22729135488414592</c:v>
                </c:pt>
                <c:pt idx="19">
                  <c:v>7.8233760241391573E-2</c:v>
                </c:pt>
                <c:pt idx="20">
                  <c:v>2.2372451225323256E-3</c:v>
                </c:pt>
                <c:pt idx="21">
                  <c:v>0.17009437713820838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4-144C-885A-987EEF3CDDC4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Cy5-DDX6</c:v>
                </c:pt>
              </c:strCache>
            </c:strRef>
          </c:tx>
          <c:spPr>
            <a:ln w="19050" cap="rnd">
              <a:solidFill>
                <a:srgbClr val="A02B93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Sheet1!$AF$3:$AF$24</c:f>
              <c:numCache>
                <c:formatCode>General</c:formatCode>
                <c:ptCount val="22"/>
                <c:pt idx="0">
                  <c:v>0</c:v>
                </c:pt>
                <c:pt idx="1">
                  <c:v>0.10092</c:v>
                </c:pt>
                <c:pt idx="2">
                  <c:v>0.20185</c:v>
                </c:pt>
                <c:pt idx="3">
                  <c:v>0.30276999999999998</c:v>
                </c:pt>
                <c:pt idx="4">
                  <c:v>0.40368999999999999</c:v>
                </c:pt>
                <c:pt idx="5">
                  <c:v>0.50461999999999996</c:v>
                </c:pt>
                <c:pt idx="6">
                  <c:v>0.60553999999999997</c:v>
                </c:pt>
                <c:pt idx="7">
                  <c:v>0.70645999999999998</c:v>
                </c:pt>
                <c:pt idx="8">
                  <c:v>0.80739000000000005</c:v>
                </c:pt>
                <c:pt idx="9">
                  <c:v>0.90830999999999995</c:v>
                </c:pt>
                <c:pt idx="10">
                  <c:v>1.0092300000000001</c:v>
                </c:pt>
                <c:pt idx="11">
                  <c:v>1.11016</c:v>
                </c:pt>
                <c:pt idx="12">
                  <c:v>1.2110799999999999</c:v>
                </c:pt>
                <c:pt idx="13">
                  <c:v>1.3120000000000001</c:v>
                </c:pt>
                <c:pt idx="14">
                  <c:v>1.41293</c:v>
                </c:pt>
                <c:pt idx="15">
                  <c:v>1.5138499999999999</c:v>
                </c:pt>
                <c:pt idx="16">
                  <c:v>1.61477</c:v>
                </c:pt>
                <c:pt idx="17">
                  <c:v>1.7157</c:v>
                </c:pt>
                <c:pt idx="18">
                  <c:v>1.8166199999999999</c:v>
                </c:pt>
                <c:pt idx="19">
                  <c:v>1.91754</c:v>
                </c:pt>
                <c:pt idx="20">
                  <c:v>2.0184700000000002</c:v>
                </c:pt>
                <c:pt idx="21">
                  <c:v>2.1193900000000001</c:v>
                </c:pt>
              </c:numCache>
            </c:numRef>
          </c:xVal>
          <c:yVal>
            <c:numRef>
              <c:f>Sheet1!$AN$3:$AN$24</c:f>
              <c:numCache>
                <c:formatCode>General</c:formatCode>
                <c:ptCount val="22"/>
                <c:pt idx="0">
                  <c:v>1.1500628012072557E-2</c:v>
                </c:pt>
                <c:pt idx="1">
                  <c:v>2.7480759283614016E-3</c:v>
                </c:pt>
                <c:pt idx="2">
                  <c:v>9.8213722747316993E-3</c:v>
                </c:pt>
                <c:pt idx="3">
                  <c:v>2.6536090746210005E-2</c:v>
                </c:pt>
                <c:pt idx="4">
                  <c:v>2.7785140079334303E-2</c:v>
                </c:pt>
                <c:pt idx="5">
                  <c:v>2.7824199026539438E-2</c:v>
                </c:pt>
                <c:pt idx="6">
                  <c:v>4.2751133685942605E-2</c:v>
                </c:pt>
                <c:pt idx="7">
                  <c:v>8.3185234825180518E-2</c:v>
                </c:pt>
                <c:pt idx="8">
                  <c:v>0.17426121396323882</c:v>
                </c:pt>
                <c:pt idx="9">
                  <c:v>0.36061926286838863</c:v>
                </c:pt>
                <c:pt idx="10">
                  <c:v>0.58282421855601307</c:v>
                </c:pt>
                <c:pt idx="11">
                  <c:v>0.84948746291492461</c:v>
                </c:pt>
                <c:pt idx="12">
                  <c:v>0.99999999999999989</c:v>
                </c:pt>
                <c:pt idx="13">
                  <c:v>0.83237880706163436</c:v>
                </c:pt>
                <c:pt idx="14">
                  <c:v>0.46715812122000067</c:v>
                </c:pt>
                <c:pt idx="15">
                  <c:v>0.21340748581462735</c:v>
                </c:pt>
                <c:pt idx="16">
                  <c:v>9.0906072717715961E-2</c:v>
                </c:pt>
                <c:pt idx="17">
                  <c:v>4.9379437026654371E-2</c:v>
                </c:pt>
                <c:pt idx="18">
                  <c:v>3.0611891887066065E-2</c:v>
                </c:pt>
                <c:pt idx="19">
                  <c:v>3.9689749202499985E-2</c:v>
                </c:pt>
                <c:pt idx="20">
                  <c:v>3.0598221255544272E-2</c:v>
                </c:pt>
                <c:pt idx="21">
                  <c:v>2.8400039505335161E-2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34-144C-885A-987EEF3C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40720"/>
        <c:axId val="2059305024"/>
      </c:scatterChart>
      <c:valAx>
        <c:axId val="806340720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Distance (um)</a:t>
                </a:r>
              </a:p>
            </c:rich>
          </c:tx>
          <c:layout>
            <c:manualLayout>
              <c:xMode val="edge"/>
              <c:yMode val="edge"/>
              <c:x val="0.41631244094488179"/>
              <c:y val="0.91800627460629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9305024"/>
        <c:crosses val="autoZero"/>
        <c:crossBetween val="midCat"/>
      </c:valAx>
      <c:valAx>
        <c:axId val="205930502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Norm.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06340720"/>
        <c:crosses val="autoZero"/>
        <c:crossBetween val="midCat"/>
      </c:valAx>
      <c:spPr>
        <a:noFill/>
        <a:ln w="317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6484765799790293"/>
          <c:y val="0.13874354084645668"/>
          <c:w val="0.29504351078252622"/>
          <c:h val="0.217014435695538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26</xdr:row>
      <xdr:rowOff>177800</xdr:rowOff>
    </xdr:from>
    <xdr:to>
      <xdr:col>7</xdr:col>
      <xdr:colOff>674624</xdr:colOff>
      <xdr:row>42</xdr:row>
      <xdr:rowOff>181864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0A6878-10EE-B013-31F9-5F81A93D3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685800</xdr:colOff>
      <xdr:row>26</xdr:row>
      <xdr:rowOff>177800</xdr:rowOff>
    </xdr:from>
    <xdr:to>
      <xdr:col>13</xdr:col>
      <xdr:colOff>498856</xdr:colOff>
      <xdr:row>42</xdr:row>
      <xdr:rowOff>181864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8B552B-830C-CEE0-A71C-A4487115D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622301</xdr:colOff>
      <xdr:row>26</xdr:row>
      <xdr:rowOff>165100</xdr:rowOff>
    </xdr:from>
    <xdr:to>
      <xdr:col>19</xdr:col>
      <xdr:colOff>435357</xdr:colOff>
      <xdr:row>42</xdr:row>
      <xdr:rowOff>169164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DD01FC-E323-95D5-DC43-3813CA370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524934</xdr:colOff>
      <xdr:row>26</xdr:row>
      <xdr:rowOff>160867</xdr:rowOff>
    </xdr:from>
    <xdr:to>
      <xdr:col>25</xdr:col>
      <xdr:colOff>337990</xdr:colOff>
      <xdr:row>42</xdr:row>
      <xdr:rowOff>164931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98AD1E-43F1-A745-06CC-55CA39A8C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8628-3C32-7143-8053-FC70864A45A8}">
  <dimension ref="A1:AN25"/>
  <sheetViews>
    <sheetView tabSelected="1" topLeftCell="A8" zoomScale="50" zoomScaleNormal="100" workbookViewId="0">
      <selection activeCell="AB39" sqref="AB39"/>
    </sheetView>
  </sheetViews>
  <sheetFormatPr baseColWidth="10" defaultRowHeight="16" x14ac:dyDescent="0.2"/>
  <sheetData>
    <row r="1" spans="1:40" x14ac:dyDescent="0.2">
      <c r="A1" t="s">
        <v>4</v>
      </c>
      <c r="F1" t="s">
        <v>5</v>
      </c>
    </row>
    <row r="2" spans="1:40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V2" t="s">
        <v>0</v>
      </c>
      <c r="W2" t="s">
        <v>1</v>
      </c>
      <c r="X2" t="s">
        <v>2</v>
      </c>
      <c r="Y2" t="s">
        <v>3</v>
      </c>
      <c r="AA2" t="s">
        <v>0</v>
      </c>
      <c r="AB2" t="s">
        <v>1</v>
      </c>
      <c r="AC2" t="s">
        <v>2</v>
      </c>
      <c r="AD2" t="s">
        <v>3</v>
      </c>
      <c r="AF2" t="s">
        <v>0</v>
      </c>
      <c r="AG2" t="s">
        <v>1</v>
      </c>
      <c r="AK2" t="s">
        <v>0</v>
      </c>
      <c r="AL2" t="s">
        <v>1</v>
      </c>
    </row>
    <row r="3" spans="1:40" x14ac:dyDescent="0.2">
      <c r="A3">
        <v>0</v>
      </c>
      <c r="B3">
        <v>554.03099999999995</v>
      </c>
      <c r="C3">
        <f xml:space="preserve"> B3-496.694</f>
        <v>57.336999999999932</v>
      </c>
      <c r="D3">
        <f xml:space="preserve"> C3/148.455</f>
        <v>0.38622478192044679</v>
      </c>
      <c r="F3">
        <v>0</v>
      </c>
      <c r="G3">
        <v>770.18799999999999</v>
      </c>
      <c r="H3">
        <f xml:space="preserve"> G3-770.188</f>
        <v>0</v>
      </c>
      <c r="I3">
        <f xml:space="preserve"> H3/11405.473</f>
        <v>0</v>
      </c>
      <c r="K3">
        <v>0</v>
      </c>
      <c r="L3">
        <v>531</v>
      </c>
      <c r="M3">
        <f xml:space="preserve"> L3-516.833</f>
        <v>14.16700000000003</v>
      </c>
      <c r="N3">
        <f xml:space="preserve"> M3/250.902</f>
        <v>5.6464276888984664E-2</v>
      </c>
      <c r="P3">
        <v>0</v>
      </c>
      <c r="Q3">
        <v>577.16700000000003</v>
      </c>
      <c r="R3">
        <f>Q3-524.778</f>
        <v>52.38900000000001</v>
      </c>
      <c r="S3">
        <f>R3/1625.068</f>
        <v>3.2238035577588142E-2</v>
      </c>
      <c r="V3">
        <v>0</v>
      </c>
      <c r="W3">
        <v>553</v>
      </c>
      <c r="X3">
        <f>W3-521.341</f>
        <v>31.658999999999992</v>
      </c>
      <c r="Y3">
        <f>X3/198.971</f>
        <v>0.15911363967613365</v>
      </c>
      <c r="AA3">
        <v>0</v>
      </c>
      <c r="AB3">
        <v>648.25</v>
      </c>
      <c r="AC3">
        <f>AB3-648.25</f>
        <v>0</v>
      </c>
      <c r="AD3">
        <f>AC3/3005.719</f>
        <v>0</v>
      </c>
      <c r="AF3">
        <v>0</v>
      </c>
      <c r="AG3">
        <v>533.05600000000004</v>
      </c>
      <c r="AH3">
        <f>AG3-533.056</f>
        <v>0</v>
      </c>
      <c r="AI3">
        <f>AH3/329.423</f>
        <v>0</v>
      </c>
      <c r="AK3">
        <v>0</v>
      </c>
      <c r="AL3">
        <v>574.27800000000002</v>
      </c>
      <c r="AM3">
        <f>AL3-533.056</f>
        <v>41.22199999999998</v>
      </c>
      <c r="AN3">
        <f>AM3/3584.326</f>
        <v>1.1500628012072557E-2</v>
      </c>
    </row>
    <row r="4" spans="1:40" x14ac:dyDescent="0.2">
      <c r="A4">
        <v>0.12232</v>
      </c>
      <c r="B4">
        <v>535.899</v>
      </c>
      <c r="C4">
        <f t="shared" ref="C4:C24" si="0" xml:space="preserve"> B4-496.694</f>
        <v>39.204999999999984</v>
      </c>
      <c r="D4">
        <f t="shared" ref="D4:D25" si="1" xml:space="preserve"> C4/148.455</f>
        <v>0.2640867602977332</v>
      </c>
      <c r="F4">
        <v>0.12232</v>
      </c>
      <c r="G4">
        <v>861.91200000000003</v>
      </c>
      <c r="H4">
        <f t="shared" ref="H4:H25" si="2" xml:space="preserve"> G4-770.188</f>
        <v>91.724000000000046</v>
      </c>
      <c r="I4">
        <f t="shared" ref="I4:I24" si="3" xml:space="preserve"> H4/11405.473</f>
        <v>8.0421039969144677E-3</v>
      </c>
      <c r="K4">
        <v>9.9979999999999999E-2</v>
      </c>
      <c r="L4">
        <v>549.23500000000001</v>
      </c>
      <c r="M4">
        <f t="shared" ref="M4:M24" si="4" xml:space="preserve"> L4-516.833</f>
        <v>32.402000000000044</v>
      </c>
      <c r="N4">
        <f t="shared" ref="N4:N25" si="5" xml:space="preserve"> M4/250.902</f>
        <v>0.12914205546388649</v>
      </c>
      <c r="P4">
        <v>9.9979999999999999E-2</v>
      </c>
      <c r="Q4">
        <v>574.13900000000001</v>
      </c>
      <c r="R4">
        <f t="shared" ref="R4:R25" si="6">Q4-524.778</f>
        <v>49.36099999999999</v>
      </c>
      <c r="S4">
        <f t="shared" ref="S4:S25" si="7">R4/1625.068</f>
        <v>3.0374728934419969E-2</v>
      </c>
      <c r="V4">
        <v>0.10333000000000001</v>
      </c>
      <c r="W4">
        <v>582.91800000000001</v>
      </c>
      <c r="X4">
        <f t="shared" ref="X4:X24" si="8">W4-521.341</f>
        <v>61.576999999999998</v>
      </c>
      <c r="Y4">
        <f t="shared" ref="Y4:Y25" si="9">X4/198.971</f>
        <v>0.30947726050529978</v>
      </c>
      <c r="AA4">
        <v>0.10333000000000001</v>
      </c>
      <c r="AB4">
        <v>715.14499999999998</v>
      </c>
      <c r="AC4">
        <f t="shared" ref="AC4:AC24" si="10">AB4-648.25</f>
        <v>66.894999999999982</v>
      </c>
      <c r="AD4">
        <f t="shared" ref="AD4:AD24" si="11">AC4/3005.719</f>
        <v>2.2255906157561629E-2</v>
      </c>
      <c r="AF4">
        <v>0.10092</v>
      </c>
      <c r="AG4">
        <v>550.1</v>
      </c>
      <c r="AH4">
        <f t="shared" ref="AH4:AH25" si="12">AG4-533.056</f>
        <v>17.043999999999983</v>
      </c>
      <c r="AI4">
        <f t="shared" ref="AI4:AI25" si="13">AH4/329.423</f>
        <v>5.1738949617968336E-2</v>
      </c>
      <c r="AK4">
        <v>0.10092</v>
      </c>
      <c r="AL4">
        <v>542.90599999999995</v>
      </c>
      <c r="AM4">
        <f t="shared" ref="AM4:AM24" si="14">AL4-533.056</f>
        <v>9.8499999999999091</v>
      </c>
      <c r="AN4">
        <f t="shared" ref="AN4:AN24" si="15">AM4/3584.326</f>
        <v>2.7480759283614016E-3</v>
      </c>
    </row>
    <row r="5" spans="1:40" x14ac:dyDescent="0.2">
      <c r="A5">
        <v>0.24464</v>
      </c>
      <c r="B5">
        <v>522.07799999999997</v>
      </c>
      <c r="C5">
        <f t="shared" si="0"/>
        <v>25.383999999999958</v>
      </c>
      <c r="D5">
        <f t="shared" si="1"/>
        <v>0.17098784143343071</v>
      </c>
      <c r="F5">
        <v>0.24464</v>
      </c>
      <c r="G5">
        <v>925.654</v>
      </c>
      <c r="H5">
        <f t="shared" si="2"/>
        <v>155.46600000000001</v>
      </c>
      <c r="I5">
        <f t="shared" si="3"/>
        <v>1.3630824429640052E-2</v>
      </c>
      <c r="K5">
        <v>0.19996</v>
      </c>
      <c r="L5">
        <v>540.69600000000003</v>
      </c>
      <c r="M5">
        <f t="shared" si="4"/>
        <v>23.863000000000056</v>
      </c>
      <c r="N5">
        <f t="shared" si="5"/>
        <v>9.5108847279017542E-2</v>
      </c>
      <c r="P5">
        <v>0.19996</v>
      </c>
      <c r="Q5">
        <v>570.952</v>
      </c>
      <c r="R5">
        <f t="shared" si="6"/>
        <v>46.173999999999978</v>
      </c>
      <c r="S5">
        <f t="shared" si="7"/>
        <v>2.8413580231719519E-2</v>
      </c>
      <c r="V5">
        <v>0.20666000000000001</v>
      </c>
      <c r="W5">
        <v>581.39800000000002</v>
      </c>
      <c r="X5">
        <f t="shared" si="8"/>
        <v>60.057000000000016</v>
      </c>
      <c r="Y5">
        <f t="shared" si="9"/>
        <v>0.30183795628508686</v>
      </c>
      <c r="AA5">
        <v>0.20666000000000001</v>
      </c>
      <c r="AB5">
        <v>684.53399999999999</v>
      </c>
      <c r="AC5">
        <f t="shared" si="10"/>
        <v>36.283999999999992</v>
      </c>
      <c r="AD5">
        <f t="shared" si="11"/>
        <v>1.2071654070124317E-2</v>
      </c>
      <c r="AF5">
        <v>0.20185</v>
      </c>
      <c r="AG5">
        <v>569.17100000000005</v>
      </c>
      <c r="AH5">
        <f t="shared" si="12"/>
        <v>36.115000000000009</v>
      </c>
      <c r="AI5">
        <f t="shared" si="13"/>
        <v>0.1096310822255884</v>
      </c>
      <c r="AK5">
        <v>0.20185</v>
      </c>
      <c r="AL5">
        <v>568.25900000000001</v>
      </c>
      <c r="AM5">
        <f t="shared" si="14"/>
        <v>35.202999999999975</v>
      </c>
      <c r="AN5">
        <f t="shared" si="15"/>
        <v>9.8213722747316993E-3</v>
      </c>
    </row>
    <row r="6" spans="1:40" x14ac:dyDescent="0.2">
      <c r="A6">
        <v>0.36695</v>
      </c>
      <c r="B6">
        <v>496.69400000000002</v>
      </c>
      <c r="C6">
        <f t="shared" si="0"/>
        <v>0</v>
      </c>
      <c r="D6">
        <f t="shared" si="1"/>
        <v>0</v>
      </c>
      <c r="F6">
        <v>0.36695</v>
      </c>
      <c r="G6">
        <v>960.63300000000004</v>
      </c>
      <c r="H6">
        <f t="shared" si="2"/>
        <v>190.44500000000005</v>
      </c>
      <c r="I6">
        <f t="shared" si="3"/>
        <v>1.6697685400684396E-2</v>
      </c>
      <c r="K6">
        <v>0.29994999999999999</v>
      </c>
      <c r="L6">
        <v>527.476</v>
      </c>
      <c r="M6">
        <f t="shared" si="4"/>
        <v>10.643000000000029</v>
      </c>
      <c r="N6">
        <f t="shared" si="5"/>
        <v>4.2418952419669947E-2</v>
      </c>
      <c r="P6">
        <v>0.29994999999999999</v>
      </c>
      <c r="Q6">
        <v>564.23900000000003</v>
      </c>
      <c r="R6">
        <f t="shared" si="6"/>
        <v>39.461000000000013</v>
      </c>
      <c r="S6">
        <f t="shared" si="7"/>
        <v>2.4282676171089465E-2</v>
      </c>
      <c r="V6">
        <v>0.30998999999999999</v>
      </c>
      <c r="W6">
        <v>592.79899999999998</v>
      </c>
      <c r="X6">
        <f t="shared" si="8"/>
        <v>71.45799999999997</v>
      </c>
      <c r="Y6">
        <f t="shared" si="9"/>
        <v>0.35913776379472367</v>
      </c>
      <c r="AA6">
        <v>0.30998999999999999</v>
      </c>
      <c r="AB6">
        <v>685.79200000000003</v>
      </c>
      <c r="AC6">
        <f t="shared" si="10"/>
        <v>37.54200000000003</v>
      </c>
      <c r="AD6">
        <f t="shared" si="11"/>
        <v>1.2490189535349123E-2</v>
      </c>
      <c r="AF6">
        <v>0.30276999999999998</v>
      </c>
      <c r="AG6">
        <v>589.96699999999998</v>
      </c>
      <c r="AH6">
        <f t="shared" si="12"/>
        <v>56.910999999999945</v>
      </c>
      <c r="AI6">
        <f t="shared" si="13"/>
        <v>0.17275964337644895</v>
      </c>
      <c r="AK6">
        <v>0.30276999999999998</v>
      </c>
      <c r="AL6">
        <v>628.16999999999996</v>
      </c>
      <c r="AM6">
        <f t="shared" si="14"/>
        <v>95.113999999999919</v>
      </c>
      <c r="AN6">
        <f t="shared" si="15"/>
        <v>2.6536090746210005E-2</v>
      </c>
    </row>
    <row r="7" spans="1:40" x14ac:dyDescent="0.2">
      <c r="A7">
        <v>0.48926999999999998</v>
      </c>
      <c r="B7">
        <v>507.80599999999998</v>
      </c>
      <c r="C7">
        <f t="shared" si="0"/>
        <v>11.111999999999966</v>
      </c>
      <c r="D7">
        <f t="shared" si="1"/>
        <v>7.4850964938870126E-2</v>
      </c>
      <c r="F7">
        <v>0.48926999999999998</v>
      </c>
      <c r="G7">
        <v>1090.3440000000001</v>
      </c>
      <c r="H7">
        <f t="shared" si="2"/>
        <v>320.15600000000006</v>
      </c>
      <c r="I7">
        <f t="shared" si="3"/>
        <v>2.8070383402775147E-2</v>
      </c>
      <c r="K7">
        <v>0.39993000000000001</v>
      </c>
      <c r="L7">
        <v>516.83299999999997</v>
      </c>
      <c r="M7">
        <f t="shared" si="4"/>
        <v>0</v>
      </c>
      <c r="N7">
        <f t="shared" si="5"/>
        <v>0</v>
      </c>
      <c r="P7">
        <v>0.39993000000000001</v>
      </c>
      <c r="Q7">
        <v>602.38699999999994</v>
      </c>
      <c r="R7">
        <f t="shared" si="6"/>
        <v>77.608999999999924</v>
      </c>
      <c r="S7">
        <f t="shared" si="7"/>
        <v>4.7757386152456345E-2</v>
      </c>
      <c r="V7">
        <v>0.41332000000000002</v>
      </c>
      <c r="W7">
        <v>553.42600000000004</v>
      </c>
      <c r="X7">
        <f t="shared" si="8"/>
        <v>32.085000000000036</v>
      </c>
      <c r="Y7">
        <f t="shared" si="9"/>
        <v>0.16125465520100937</v>
      </c>
      <c r="AA7">
        <v>0.41332000000000002</v>
      </c>
      <c r="AB7">
        <v>726.96</v>
      </c>
      <c r="AC7">
        <f t="shared" si="10"/>
        <v>78.710000000000036</v>
      </c>
      <c r="AD7">
        <f t="shared" si="11"/>
        <v>2.6186745999875582E-2</v>
      </c>
      <c r="AF7">
        <v>0.40368999999999999</v>
      </c>
      <c r="AG7">
        <v>572.31799999999998</v>
      </c>
      <c r="AH7">
        <f t="shared" si="12"/>
        <v>39.261999999999944</v>
      </c>
      <c r="AI7">
        <f t="shared" si="13"/>
        <v>0.11918414925490917</v>
      </c>
      <c r="AK7">
        <v>0.40368999999999999</v>
      </c>
      <c r="AL7">
        <v>632.64700000000005</v>
      </c>
      <c r="AM7">
        <f t="shared" si="14"/>
        <v>99.591000000000008</v>
      </c>
      <c r="AN7">
        <f t="shared" si="15"/>
        <v>2.7785140079334303E-2</v>
      </c>
    </row>
    <row r="8" spans="1:40" x14ac:dyDescent="0.2">
      <c r="A8">
        <v>0.61158999999999997</v>
      </c>
      <c r="B8">
        <v>550.78099999999995</v>
      </c>
      <c r="C8">
        <f t="shared" si="0"/>
        <v>54.086999999999932</v>
      </c>
      <c r="D8">
        <f t="shared" si="1"/>
        <v>0.36433262604829697</v>
      </c>
      <c r="F8">
        <v>0.61158999999999997</v>
      </c>
      <c r="G8">
        <v>1458.6610000000001</v>
      </c>
      <c r="H8">
        <f t="shared" si="2"/>
        <v>688.47300000000007</v>
      </c>
      <c r="I8">
        <f t="shared" si="3"/>
        <v>6.0363388699442806E-2</v>
      </c>
      <c r="K8">
        <v>0.49991000000000002</v>
      </c>
      <c r="L8">
        <v>518.23199999999997</v>
      </c>
      <c r="M8">
        <f t="shared" si="4"/>
        <v>1.3990000000000009</v>
      </c>
      <c r="N8">
        <f t="shared" si="5"/>
        <v>5.5758822169612076E-3</v>
      </c>
      <c r="P8">
        <v>0.49991000000000002</v>
      </c>
      <c r="Q8">
        <v>685.22199999999998</v>
      </c>
      <c r="R8">
        <f t="shared" si="6"/>
        <v>160.44399999999996</v>
      </c>
      <c r="S8">
        <f t="shared" si="7"/>
        <v>9.8730637733313295E-2</v>
      </c>
      <c r="V8">
        <v>0.51665000000000005</v>
      </c>
      <c r="W8">
        <v>558.03800000000001</v>
      </c>
      <c r="X8">
        <f t="shared" si="8"/>
        <v>36.697000000000003</v>
      </c>
      <c r="Y8">
        <f t="shared" si="9"/>
        <v>0.18443391247970811</v>
      </c>
      <c r="AA8">
        <v>0.51665000000000005</v>
      </c>
      <c r="AB8">
        <v>747.95500000000004</v>
      </c>
      <c r="AC8">
        <f t="shared" si="10"/>
        <v>99.705000000000041</v>
      </c>
      <c r="AD8">
        <f t="shared" si="11"/>
        <v>3.317176356139747E-2</v>
      </c>
      <c r="AF8">
        <v>0.50461999999999996</v>
      </c>
      <c r="AG8">
        <v>560.57899999999995</v>
      </c>
      <c r="AH8">
        <f t="shared" si="12"/>
        <v>27.522999999999911</v>
      </c>
      <c r="AI8">
        <f t="shared" si="13"/>
        <v>8.3549114664124582E-2</v>
      </c>
      <c r="AK8">
        <v>0.50461999999999996</v>
      </c>
      <c r="AL8">
        <v>632.78700000000003</v>
      </c>
      <c r="AM8">
        <f t="shared" si="14"/>
        <v>99.730999999999995</v>
      </c>
      <c r="AN8">
        <f t="shared" si="15"/>
        <v>2.7824199026539438E-2</v>
      </c>
    </row>
    <row r="9" spans="1:40" x14ac:dyDescent="0.2">
      <c r="A9">
        <v>0.73390999999999995</v>
      </c>
      <c r="B9">
        <v>550.06100000000004</v>
      </c>
      <c r="C9">
        <f t="shared" si="0"/>
        <v>53.367000000000019</v>
      </c>
      <c r="D9">
        <f t="shared" si="1"/>
        <v>0.35948267151662128</v>
      </c>
      <c r="F9">
        <v>0.73390999999999995</v>
      </c>
      <c r="G9">
        <v>2539.049</v>
      </c>
      <c r="H9">
        <f t="shared" si="2"/>
        <v>1768.8609999999999</v>
      </c>
      <c r="I9">
        <f t="shared" si="3"/>
        <v>0.15508878939084769</v>
      </c>
      <c r="K9">
        <v>0.59989000000000003</v>
      </c>
      <c r="L9">
        <v>569.12199999999996</v>
      </c>
      <c r="M9">
        <f t="shared" si="4"/>
        <v>52.288999999999987</v>
      </c>
      <c r="N9">
        <f t="shared" si="5"/>
        <v>0.20840407808626471</v>
      </c>
      <c r="P9">
        <v>0.59989000000000003</v>
      </c>
      <c r="Q9">
        <v>780.82899999999995</v>
      </c>
      <c r="R9">
        <f t="shared" si="6"/>
        <v>256.05099999999993</v>
      </c>
      <c r="S9">
        <f t="shared" si="7"/>
        <v>0.15756325273773156</v>
      </c>
      <c r="V9">
        <v>0.61997999999999998</v>
      </c>
      <c r="W9">
        <v>553.66999999999996</v>
      </c>
      <c r="X9">
        <f t="shared" si="8"/>
        <v>32.328999999999951</v>
      </c>
      <c r="Y9">
        <f t="shared" si="9"/>
        <v>0.16248096456267472</v>
      </c>
      <c r="AA9">
        <v>0.61997999999999998</v>
      </c>
      <c r="AB9">
        <v>798.21600000000001</v>
      </c>
      <c r="AC9">
        <f t="shared" si="10"/>
        <v>149.96600000000001</v>
      </c>
      <c r="AD9">
        <f t="shared" si="11"/>
        <v>4.989355292360996E-2</v>
      </c>
      <c r="AF9">
        <v>0.60553999999999997</v>
      </c>
      <c r="AG9">
        <v>537.46600000000001</v>
      </c>
      <c r="AH9">
        <f t="shared" si="12"/>
        <v>4.4099999999999682</v>
      </c>
      <c r="AI9">
        <f t="shared" si="13"/>
        <v>1.3387043406198014E-2</v>
      </c>
      <c r="AK9">
        <v>0.60553999999999997</v>
      </c>
      <c r="AL9">
        <v>686.29</v>
      </c>
      <c r="AM9">
        <f t="shared" si="14"/>
        <v>153.23399999999992</v>
      </c>
      <c r="AN9">
        <f t="shared" si="15"/>
        <v>4.2751133685942605E-2</v>
      </c>
    </row>
    <row r="10" spans="1:40" x14ac:dyDescent="0.2">
      <c r="A10">
        <v>0.85621999999999998</v>
      </c>
      <c r="B10">
        <v>583.27099999999996</v>
      </c>
      <c r="C10">
        <f t="shared" si="0"/>
        <v>86.576999999999941</v>
      </c>
      <c r="D10">
        <f t="shared" si="1"/>
        <v>0.58318682429018853</v>
      </c>
      <c r="F10">
        <v>0.85621999999999998</v>
      </c>
      <c r="G10">
        <v>4505.9170000000004</v>
      </c>
      <c r="H10">
        <f t="shared" si="2"/>
        <v>3735.7290000000003</v>
      </c>
      <c r="I10">
        <f t="shared" si="3"/>
        <v>0.32753827921034051</v>
      </c>
      <c r="K10">
        <v>0.69986999999999999</v>
      </c>
      <c r="L10">
        <v>614.44399999999996</v>
      </c>
      <c r="M10">
        <f t="shared" si="4"/>
        <v>97.61099999999999</v>
      </c>
      <c r="N10">
        <f t="shared" si="5"/>
        <v>0.38904034244446034</v>
      </c>
      <c r="P10">
        <v>0.69986999999999999</v>
      </c>
      <c r="Q10">
        <v>1001.278</v>
      </c>
      <c r="R10">
        <f t="shared" si="6"/>
        <v>476.5</v>
      </c>
      <c r="S10">
        <f t="shared" si="7"/>
        <v>0.29321849916434267</v>
      </c>
      <c r="V10">
        <v>0.72331000000000001</v>
      </c>
      <c r="W10">
        <v>562.72400000000005</v>
      </c>
      <c r="X10">
        <f t="shared" si="8"/>
        <v>41.383000000000038</v>
      </c>
      <c r="Y10">
        <f t="shared" si="9"/>
        <v>0.20798508325333862</v>
      </c>
      <c r="AA10">
        <v>0.72331000000000001</v>
      </c>
      <c r="AB10">
        <v>979.51599999999996</v>
      </c>
      <c r="AC10">
        <f t="shared" si="10"/>
        <v>331.26599999999996</v>
      </c>
      <c r="AD10">
        <f t="shared" si="11"/>
        <v>0.11021189938247719</v>
      </c>
      <c r="AF10">
        <v>0.70645999999999998</v>
      </c>
      <c r="AG10">
        <v>564.84500000000003</v>
      </c>
      <c r="AH10">
        <f t="shared" si="12"/>
        <v>31.788999999999987</v>
      </c>
      <c r="AI10">
        <f t="shared" si="13"/>
        <v>9.6499030122365437E-2</v>
      </c>
      <c r="AK10">
        <v>0.70645999999999998</v>
      </c>
      <c r="AL10">
        <v>831.21900000000005</v>
      </c>
      <c r="AM10">
        <f t="shared" si="14"/>
        <v>298.16300000000001</v>
      </c>
      <c r="AN10">
        <f t="shared" si="15"/>
        <v>8.3185234825180518E-2</v>
      </c>
    </row>
    <row r="11" spans="1:40" x14ac:dyDescent="0.2">
      <c r="A11">
        <v>0.97853999999999997</v>
      </c>
      <c r="B11">
        <v>607.76</v>
      </c>
      <c r="C11">
        <f t="shared" si="0"/>
        <v>111.06599999999997</v>
      </c>
      <c r="D11">
        <f t="shared" si="1"/>
        <v>0.74814590279882764</v>
      </c>
      <c r="F11">
        <v>0.97853999999999997</v>
      </c>
      <c r="G11">
        <v>7245.36</v>
      </c>
      <c r="H11">
        <f t="shared" si="2"/>
        <v>6475.1719999999996</v>
      </c>
      <c r="I11">
        <f t="shared" si="3"/>
        <v>0.56772498606590005</v>
      </c>
      <c r="K11">
        <v>0.79986000000000002</v>
      </c>
      <c r="L11">
        <v>626.55600000000004</v>
      </c>
      <c r="M11">
        <f t="shared" si="4"/>
        <v>109.72300000000007</v>
      </c>
      <c r="N11">
        <f t="shared" si="5"/>
        <v>0.43731417047293397</v>
      </c>
      <c r="P11">
        <v>0.79986000000000002</v>
      </c>
      <c r="Q11">
        <v>1294.6120000000001</v>
      </c>
      <c r="R11">
        <f t="shared" si="6"/>
        <v>769.83400000000006</v>
      </c>
      <c r="S11">
        <f t="shared" si="7"/>
        <v>0.47372417646523102</v>
      </c>
      <c r="V11">
        <v>0.82664000000000004</v>
      </c>
      <c r="W11">
        <v>593.88599999999997</v>
      </c>
      <c r="X11">
        <f t="shared" si="8"/>
        <v>72.544999999999959</v>
      </c>
      <c r="Y11">
        <f t="shared" si="9"/>
        <v>0.36460087148378384</v>
      </c>
      <c r="AA11">
        <v>0.82664000000000004</v>
      </c>
      <c r="AB11">
        <v>1476.057</v>
      </c>
      <c r="AC11">
        <f t="shared" si="10"/>
        <v>827.80700000000002</v>
      </c>
      <c r="AD11">
        <f t="shared" si="11"/>
        <v>0.27541064217912586</v>
      </c>
      <c r="AF11">
        <v>0.80739000000000005</v>
      </c>
      <c r="AG11">
        <v>606.20399999999995</v>
      </c>
      <c r="AH11">
        <f t="shared" si="12"/>
        <v>73.147999999999911</v>
      </c>
      <c r="AI11">
        <f t="shared" si="13"/>
        <v>0.22204885511940547</v>
      </c>
      <c r="AK11">
        <v>0.80739000000000005</v>
      </c>
      <c r="AL11">
        <v>1157.665</v>
      </c>
      <c r="AM11">
        <f t="shared" si="14"/>
        <v>624.60899999999992</v>
      </c>
      <c r="AN11">
        <f t="shared" si="15"/>
        <v>0.17426121396323882</v>
      </c>
    </row>
    <row r="12" spans="1:40" x14ac:dyDescent="0.2">
      <c r="A12">
        <v>1.1008599999999999</v>
      </c>
      <c r="B12">
        <v>617.70899999999995</v>
      </c>
      <c r="C12">
        <f t="shared" si="0"/>
        <v>121.01499999999993</v>
      </c>
      <c r="D12">
        <f t="shared" si="1"/>
        <v>0.81516284395944849</v>
      </c>
      <c r="F12">
        <v>1.1008599999999999</v>
      </c>
      <c r="G12">
        <v>10300.834999999999</v>
      </c>
      <c r="H12">
        <f t="shared" si="2"/>
        <v>9530.646999999999</v>
      </c>
      <c r="I12">
        <f t="shared" si="3"/>
        <v>0.83562049552876927</v>
      </c>
      <c r="K12">
        <v>0.89983999999999997</v>
      </c>
      <c r="L12">
        <v>679.77200000000005</v>
      </c>
      <c r="M12">
        <f t="shared" si="4"/>
        <v>162.93900000000008</v>
      </c>
      <c r="N12">
        <f t="shared" si="5"/>
        <v>0.64941291819116664</v>
      </c>
      <c r="P12">
        <v>0.89983999999999997</v>
      </c>
      <c r="Q12">
        <v>1703.126</v>
      </c>
      <c r="R12">
        <f t="shared" si="6"/>
        <v>1178.348</v>
      </c>
      <c r="S12">
        <f t="shared" si="7"/>
        <v>0.72510688783484756</v>
      </c>
      <c r="V12">
        <v>0.92996999999999996</v>
      </c>
      <c r="W12">
        <v>628.85400000000004</v>
      </c>
      <c r="X12">
        <f t="shared" si="8"/>
        <v>107.51300000000003</v>
      </c>
      <c r="Y12">
        <f t="shared" si="9"/>
        <v>0.54034507541300003</v>
      </c>
      <c r="AA12">
        <v>0.92996999999999996</v>
      </c>
      <c r="AB12">
        <v>2110.2809999999999</v>
      </c>
      <c r="AC12">
        <f t="shared" si="10"/>
        <v>1462.0309999999999</v>
      </c>
      <c r="AD12">
        <f t="shared" si="11"/>
        <v>0.48641639487922855</v>
      </c>
      <c r="AF12">
        <v>0.90830999999999995</v>
      </c>
      <c r="AG12">
        <v>625.46400000000006</v>
      </c>
      <c r="AH12">
        <f t="shared" si="12"/>
        <v>92.408000000000015</v>
      </c>
      <c r="AI12">
        <f t="shared" si="13"/>
        <v>0.28051471815871998</v>
      </c>
      <c r="AK12">
        <v>0.90830999999999995</v>
      </c>
      <c r="AL12">
        <v>1825.633</v>
      </c>
      <c r="AM12">
        <f t="shared" si="14"/>
        <v>1292.577</v>
      </c>
      <c r="AN12">
        <f t="shared" si="15"/>
        <v>0.36061926286838863</v>
      </c>
    </row>
    <row r="13" spans="1:40" x14ac:dyDescent="0.2">
      <c r="A13">
        <v>1.2231799999999999</v>
      </c>
      <c r="B13">
        <v>634.52700000000004</v>
      </c>
      <c r="C13">
        <f t="shared" si="0"/>
        <v>137.83300000000003</v>
      </c>
      <c r="D13">
        <f t="shared" si="1"/>
        <v>0.92844969856185389</v>
      </c>
      <c r="F13">
        <v>1.2231799999999999</v>
      </c>
      <c r="G13">
        <v>12175.661</v>
      </c>
      <c r="H13">
        <f t="shared" si="2"/>
        <v>11405.473</v>
      </c>
      <c r="I13">
        <f t="shared" si="3"/>
        <v>1</v>
      </c>
      <c r="K13">
        <v>0.99982000000000004</v>
      </c>
      <c r="L13">
        <v>765.01800000000003</v>
      </c>
      <c r="M13">
        <f t="shared" si="4"/>
        <v>248.18500000000006</v>
      </c>
      <c r="N13">
        <f t="shared" si="5"/>
        <v>0.98917107077663813</v>
      </c>
      <c r="P13">
        <v>0.99982000000000004</v>
      </c>
      <c r="Q13">
        <v>2035.229</v>
      </c>
      <c r="R13">
        <f t="shared" si="6"/>
        <v>1510.451</v>
      </c>
      <c r="S13">
        <f t="shared" si="7"/>
        <v>0.92946941297225716</v>
      </c>
      <c r="V13">
        <v>1.0333000000000001</v>
      </c>
      <c r="W13">
        <v>720.31200000000001</v>
      </c>
      <c r="X13">
        <f t="shared" si="8"/>
        <v>198.971</v>
      </c>
      <c r="Y13">
        <f t="shared" si="9"/>
        <v>1</v>
      </c>
      <c r="AA13">
        <v>1.0333000000000001</v>
      </c>
      <c r="AB13">
        <v>2985.4659999999999</v>
      </c>
      <c r="AC13">
        <f t="shared" si="10"/>
        <v>2337.2159999999999</v>
      </c>
      <c r="AD13">
        <f t="shared" si="11"/>
        <v>0.7775896549211686</v>
      </c>
      <c r="AF13">
        <v>1.0092300000000001</v>
      </c>
      <c r="AG13">
        <v>677.51499999999999</v>
      </c>
      <c r="AH13">
        <f t="shared" si="12"/>
        <v>144.45899999999995</v>
      </c>
      <c r="AI13">
        <f t="shared" si="13"/>
        <v>0.43852129329160366</v>
      </c>
      <c r="AK13">
        <v>1.0092300000000001</v>
      </c>
      <c r="AL13">
        <v>2622.0880000000002</v>
      </c>
      <c r="AM13">
        <f t="shared" si="14"/>
        <v>2089.0320000000002</v>
      </c>
      <c r="AN13">
        <f t="shared" si="15"/>
        <v>0.58282421855601307</v>
      </c>
    </row>
    <row r="14" spans="1:40" x14ac:dyDescent="0.2">
      <c r="A14">
        <v>1.3454900000000001</v>
      </c>
      <c r="B14">
        <v>645.149</v>
      </c>
      <c r="C14">
        <f t="shared" si="0"/>
        <v>148.45499999999998</v>
      </c>
      <c r="D14">
        <f t="shared" si="1"/>
        <v>0.99999999999999978</v>
      </c>
      <c r="F14">
        <v>1.3454900000000001</v>
      </c>
      <c r="G14">
        <v>11929.897999999999</v>
      </c>
      <c r="H14">
        <f t="shared" si="2"/>
        <v>11159.71</v>
      </c>
      <c r="I14">
        <f t="shared" si="3"/>
        <v>0.97845218694568814</v>
      </c>
      <c r="K14">
        <v>1.0998000000000001</v>
      </c>
      <c r="L14">
        <v>767.73500000000001</v>
      </c>
      <c r="M14">
        <f t="shared" si="4"/>
        <v>250.90200000000004</v>
      </c>
      <c r="N14">
        <f t="shared" si="5"/>
        <v>1.0000000000000002</v>
      </c>
      <c r="P14">
        <v>1.0998000000000001</v>
      </c>
      <c r="Q14">
        <v>2149.846</v>
      </c>
      <c r="R14">
        <f t="shared" si="6"/>
        <v>1625.068</v>
      </c>
      <c r="S14">
        <f t="shared" si="7"/>
        <v>1</v>
      </c>
      <c r="V14">
        <v>1.13663</v>
      </c>
      <c r="W14">
        <v>702.47699999999998</v>
      </c>
      <c r="X14">
        <f t="shared" si="8"/>
        <v>181.13599999999997</v>
      </c>
      <c r="Y14">
        <f t="shared" si="9"/>
        <v>0.91036382186348741</v>
      </c>
      <c r="AA14">
        <v>1.13663</v>
      </c>
      <c r="AB14">
        <v>3653.9690000000001</v>
      </c>
      <c r="AC14">
        <f t="shared" si="10"/>
        <v>3005.7190000000001</v>
      </c>
      <c r="AD14">
        <f t="shared" si="11"/>
        <v>1</v>
      </c>
      <c r="AF14">
        <v>1.11016</v>
      </c>
      <c r="AG14">
        <v>791.625</v>
      </c>
      <c r="AH14">
        <f t="shared" si="12"/>
        <v>258.56899999999996</v>
      </c>
      <c r="AI14">
        <f t="shared" si="13"/>
        <v>0.78491483594041689</v>
      </c>
      <c r="AK14">
        <v>1.11016</v>
      </c>
      <c r="AL14">
        <v>3577.8960000000002</v>
      </c>
      <c r="AM14">
        <f t="shared" si="14"/>
        <v>3044.84</v>
      </c>
      <c r="AN14">
        <f t="shared" si="15"/>
        <v>0.84948746291492461</v>
      </c>
    </row>
    <row r="15" spans="1:40" x14ac:dyDescent="0.2">
      <c r="A15">
        <v>1.4678100000000001</v>
      </c>
      <c r="B15">
        <v>593.28499999999997</v>
      </c>
      <c r="C15">
        <f t="shared" si="0"/>
        <v>96.590999999999951</v>
      </c>
      <c r="D15">
        <f t="shared" si="1"/>
        <v>0.65064160856825259</v>
      </c>
      <c r="F15">
        <v>1.4678100000000001</v>
      </c>
      <c r="G15">
        <v>8396.1759999999995</v>
      </c>
      <c r="H15">
        <f t="shared" si="2"/>
        <v>7625.9879999999994</v>
      </c>
      <c r="I15">
        <f t="shared" si="3"/>
        <v>0.66862531698597671</v>
      </c>
      <c r="K15">
        <v>1.1997800000000001</v>
      </c>
      <c r="L15">
        <v>735.70699999999999</v>
      </c>
      <c r="M15">
        <f t="shared" si="4"/>
        <v>218.87400000000002</v>
      </c>
      <c r="N15">
        <f t="shared" si="5"/>
        <v>0.87234856637252811</v>
      </c>
      <c r="P15">
        <v>1.1997800000000001</v>
      </c>
      <c r="Q15">
        <v>1605.6</v>
      </c>
      <c r="R15">
        <f t="shared" si="6"/>
        <v>1080.8219999999999</v>
      </c>
      <c r="S15">
        <f t="shared" si="7"/>
        <v>0.66509339916852706</v>
      </c>
      <c r="V15">
        <v>1.23996</v>
      </c>
      <c r="W15">
        <v>695.81799999999998</v>
      </c>
      <c r="X15">
        <f t="shared" si="8"/>
        <v>174.47699999999998</v>
      </c>
      <c r="Y15">
        <f t="shared" si="9"/>
        <v>0.87689663317769917</v>
      </c>
      <c r="AA15">
        <v>1.23996</v>
      </c>
      <c r="AB15">
        <v>3444.511</v>
      </c>
      <c r="AC15">
        <f t="shared" si="10"/>
        <v>2796.261</v>
      </c>
      <c r="AD15">
        <f t="shared" si="11"/>
        <v>0.93031351234097392</v>
      </c>
      <c r="AF15">
        <v>1.2110799999999999</v>
      </c>
      <c r="AG15">
        <v>854.83299999999997</v>
      </c>
      <c r="AH15">
        <f t="shared" si="12"/>
        <v>321.77699999999993</v>
      </c>
      <c r="AI15">
        <f t="shared" si="13"/>
        <v>0.97678972020775701</v>
      </c>
      <c r="AK15">
        <v>1.2110799999999999</v>
      </c>
      <c r="AL15">
        <v>4117.3819999999996</v>
      </c>
      <c r="AM15">
        <f t="shared" si="14"/>
        <v>3584.3259999999996</v>
      </c>
      <c r="AN15">
        <f t="shared" si="15"/>
        <v>0.99999999999999989</v>
      </c>
    </row>
    <row r="16" spans="1:40" x14ac:dyDescent="0.2">
      <c r="A16">
        <v>1.59013</v>
      </c>
      <c r="B16">
        <v>582.35699999999997</v>
      </c>
      <c r="C16">
        <f t="shared" si="0"/>
        <v>85.662999999999954</v>
      </c>
      <c r="D16">
        <f t="shared" si="1"/>
        <v>0.57703007645414395</v>
      </c>
      <c r="F16">
        <v>1.59013</v>
      </c>
      <c r="G16">
        <v>4596.2359999999999</v>
      </c>
      <c r="H16">
        <f t="shared" si="2"/>
        <v>3826.0479999999998</v>
      </c>
      <c r="I16">
        <f t="shared" si="3"/>
        <v>0.33545719673353308</v>
      </c>
      <c r="K16">
        <v>1.2997700000000001</v>
      </c>
      <c r="L16">
        <v>658.84400000000005</v>
      </c>
      <c r="M16">
        <f t="shared" si="4"/>
        <v>142.01100000000008</v>
      </c>
      <c r="N16">
        <f t="shared" si="5"/>
        <v>0.56600186527010576</v>
      </c>
      <c r="P16">
        <v>1.2997700000000001</v>
      </c>
      <c r="Q16">
        <v>1095.7860000000001</v>
      </c>
      <c r="R16">
        <f t="shared" si="6"/>
        <v>571.00800000000004</v>
      </c>
      <c r="S16">
        <f t="shared" si="7"/>
        <v>0.35137483477614478</v>
      </c>
      <c r="V16">
        <v>1.3432900000000001</v>
      </c>
      <c r="W16">
        <v>660.49099999999999</v>
      </c>
      <c r="X16">
        <f t="shared" si="8"/>
        <v>139.14999999999998</v>
      </c>
      <c r="Y16">
        <f t="shared" si="9"/>
        <v>0.69934814621226193</v>
      </c>
      <c r="AA16">
        <v>1.3432900000000001</v>
      </c>
      <c r="AB16">
        <v>2552.4520000000002</v>
      </c>
      <c r="AC16">
        <f t="shared" si="10"/>
        <v>1904.2020000000002</v>
      </c>
      <c r="AD16">
        <f t="shared" si="11"/>
        <v>0.63352628772017616</v>
      </c>
      <c r="AF16">
        <v>1.3120000000000001</v>
      </c>
      <c r="AG16">
        <v>862.47900000000004</v>
      </c>
      <c r="AH16">
        <f t="shared" si="12"/>
        <v>329.423</v>
      </c>
      <c r="AI16">
        <f t="shared" si="13"/>
        <v>1</v>
      </c>
      <c r="AK16">
        <v>1.3120000000000001</v>
      </c>
      <c r="AL16">
        <v>3516.5729999999999</v>
      </c>
      <c r="AM16">
        <f t="shared" si="14"/>
        <v>2983.5169999999998</v>
      </c>
      <c r="AN16">
        <f t="shared" si="15"/>
        <v>0.83237880706163436</v>
      </c>
    </row>
    <row r="17" spans="1:40" x14ac:dyDescent="0.2">
      <c r="A17">
        <v>1.71245</v>
      </c>
      <c r="B17">
        <v>549.70100000000002</v>
      </c>
      <c r="C17">
        <f t="shared" si="0"/>
        <v>53.007000000000005</v>
      </c>
      <c r="D17">
        <f t="shared" si="1"/>
        <v>0.35705769425078304</v>
      </c>
      <c r="F17">
        <v>1.71245</v>
      </c>
      <c r="G17">
        <v>2184.7429999999999</v>
      </c>
      <c r="H17">
        <f t="shared" si="2"/>
        <v>1414.5549999999998</v>
      </c>
      <c r="I17">
        <f t="shared" si="3"/>
        <v>0.12402422942038439</v>
      </c>
      <c r="K17">
        <v>1.39975</v>
      </c>
      <c r="L17">
        <v>596.81500000000005</v>
      </c>
      <c r="M17">
        <f t="shared" si="4"/>
        <v>79.982000000000085</v>
      </c>
      <c r="N17">
        <f t="shared" si="5"/>
        <v>0.31877784951893601</v>
      </c>
      <c r="P17">
        <v>1.39975</v>
      </c>
      <c r="Q17">
        <v>756.24099999999999</v>
      </c>
      <c r="R17">
        <f t="shared" si="6"/>
        <v>231.46299999999997</v>
      </c>
      <c r="S17">
        <f t="shared" si="7"/>
        <v>0.14243280896553251</v>
      </c>
      <c r="V17">
        <v>1.44662</v>
      </c>
      <c r="W17">
        <v>598.85199999999998</v>
      </c>
      <c r="X17">
        <f t="shared" si="8"/>
        <v>77.510999999999967</v>
      </c>
      <c r="Y17">
        <f t="shared" si="9"/>
        <v>0.38955928250850608</v>
      </c>
      <c r="AA17">
        <v>1.44662</v>
      </c>
      <c r="AB17">
        <v>1605.693</v>
      </c>
      <c r="AC17">
        <f t="shared" si="10"/>
        <v>957.44299999999998</v>
      </c>
      <c r="AD17">
        <f t="shared" si="11"/>
        <v>0.31854042244135261</v>
      </c>
      <c r="AF17">
        <v>1.41293</v>
      </c>
      <c r="AG17">
        <v>704.55899999999997</v>
      </c>
      <c r="AH17">
        <f t="shared" si="12"/>
        <v>171.50299999999993</v>
      </c>
      <c r="AI17">
        <f t="shared" si="13"/>
        <v>0.5206163504066198</v>
      </c>
      <c r="AK17">
        <v>1.41293</v>
      </c>
      <c r="AL17">
        <v>2207.5030000000002</v>
      </c>
      <c r="AM17">
        <f t="shared" si="14"/>
        <v>1674.4470000000001</v>
      </c>
      <c r="AN17">
        <f t="shared" si="15"/>
        <v>0.46715812122000067</v>
      </c>
    </row>
    <row r="18" spans="1:40" x14ac:dyDescent="0.2">
      <c r="A18">
        <v>1.83477</v>
      </c>
      <c r="B18">
        <v>535.23199999999997</v>
      </c>
      <c r="C18">
        <f t="shared" si="0"/>
        <v>38.537999999999954</v>
      </c>
      <c r="D18">
        <f t="shared" si="1"/>
        <v>0.25959381630797179</v>
      </c>
      <c r="F18">
        <v>1.83477</v>
      </c>
      <c r="G18">
        <v>1392.423</v>
      </c>
      <c r="H18">
        <f t="shared" si="2"/>
        <v>622.23500000000001</v>
      </c>
      <c r="I18">
        <f t="shared" si="3"/>
        <v>5.4555825961799219E-2</v>
      </c>
      <c r="K18">
        <v>1.49973</v>
      </c>
      <c r="L18">
        <v>574.84799999999996</v>
      </c>
      <c r="M18">
        <f t="shared" si="4"/>
        <v>58.014999999999986</v>
      </c>
      <c r="N18">
        <f t="shared" si="5"/>
        <v>0.23122573753895939</v>
      </c>
      <c r="P18">
        <v>1.49973</v>
      </c>
      <c r="Q18">
        <v>650.81899999999996</v>
      </c>
      <c r="R18">
        <f t="shared" si="6"/>
        <v>126.04099999999994</v>
      </c>
      <c r="S18">
        <f t="shared" si="7"/>
        <v>7.7560446701307226E-2</v>
      </c>
      <c r="V18">
        <v>1.54996</v>
      </c>
      <c r="W18">
        <v>563.88900000000001</v>
      </c>
      <c r="X18">
        <f t="shared" si="8"/>
        <v>42.548000000000002</v>
      </c>
      <c r="Y18">
        <f t="shared" si="9"/>
        <v>0.21384020786948851</v>
      </c>
      <c r="AA18">
        <v>1.54996</v>
      </c>
      <c r="AB18">
        <v>938.25300000000004</v>
      </c>
      <c r="AC18">
        <f t="shared" si="10"/>
        <v>290.00300000000004</v>
      </c>
      <c r="AD18">
        <f t="shared" si="11"/>
        <v>9.6483736503645237E-2</v>
      </c>
      <c r="AF18">
        <v>1.5138499999999999</v>
      </c>
      <c r="AG18">
        <v>627.28099999999995</v>
      </c>
      <c r="AH18">
        <f t="shared" si="12"/>
        <v>94.224999999999909</v>
      </c>
      <c r="AI18">
        <f t="shared" si="13"/>
        <v>0.28603042289093328</v>
      </c>
      <c r="AK18">
        <v>1.5138499999999999</v>
      </c>
      <c r="AL18">
        <v>1297.9780000000001</v>
      </c>
      <c r="AM18">
        <f t="shared" si="14"/>
        <v>764.92200000000003</v>
      </c>
      <c r="AN18">
        <f t="shared" si="15"/>
        <v>0.21340748581462735</v>
      </c>
    </row>
    <row r="19" spans="1:40" x14ac:dyDescent="0.2">
      <c r="A19">
        <v>1.9570799999999999</v>
      </c>
      <c r="B19">
        <v>532.20100000000002</v>
      </c>
      <c r="C19">
        <f t="shared" si="0"/>
        <v>35.507000000000005</v>
      </c>
      <c r="D19">
        <f t="shared" si="1"/>
        <v>0.23917685493920718</v>
      </c>
      <c r="F19">
        <v>1.9570799999999999</v>
      </c>
      <c r="G19">
        <v>1049.933</v>
      </c>
      <c r="H19">
        <f t="shared" si="2"/>
        <v>279.745</v>
      </c>
      <c r="I19">
        <f t="shared" si="3"/>
        <v>2.4527259851476569E-2</v>
      </c>
      <c r="K19">
        <v>1.59971</v>
      </c>
      <c r="L19">
        <v>565.11</v>
      </c>
      <c r="M19">
        <f t="shared" si="4"/>
        <v>48.277000000000044</v>
      </c>
      <c r="N19">
        <f t="shared" si="5"/>
        <v>0.19241377111382152</v>
      </c>
      <c r="P19">
        <v>1.59971</v>
      </c>
      <c r="Q19">
        <v>605.04399999999998</v>
      </c>
      <c r="R19">
        <f t="shared" si="6"/>
        <v>80.265999999999963</v>
      </c>
      <c r="S19">
        <f t="shared" si="7"/>
        <v>4.9392394656715882E-2</v>
      </c>
      <c r="V19">
        <v>1.6532899999999999</v>
      </c>
      <c r="W19">
        <v>521.34100000000001</v>
      </c>
      <c r="X19">
        <f t="shared" si="8"/>
        <v>0</v>
      </c>
      <c r="Y19">
        <f t="shared" si="9"/>
        <v>0</v>
      </c>
      <c r="AA19">
        <v>1.6532899999999999</v>
      </c>
      <c r="AB19">
        <v>759.18200000000002</v>
      </c>
      <c r="AC19">
        <f t="shared" si="10"/>
        <v>110.93200000000002</v>
      </c>
      <c r="AD19">
        <f t="shared" si="11"/>
        <v>3.690697633411507E-2</v>
      </c>
      <c r="AF19">
        <v>1.61477</v>
      </c>
      <c r="AG19">
        <v>603.92700000000002</v>
      </c>
      <c r="AH19">
        <f t="shared" si="12"/>
        <v>70.870999999999981</v>
      </c>
      <c r="AI19">
        <f t="shared" si="13"/>
        <v>0.2151367694423279</v>
      </c>
      <c r="AK19">
        <v>1.61477</v>
      </c>
      <c r="AL19">
        <v>858.89300000000003</v>
      </c>
      <c r="AM19">
        <f t="shared" si="14"/>
        <v>325.83699999999999</v>
      </c>
      <c r="AN19">
        <f t="shared" si="15"/>
        <v>9.0906072717715961E-2</v>
      </c>
    </row>
    <row r="20" spans="1:40" x14ac:dyDescent="0.2">
      <c r="A20">
        <v>2.0794000000000001</v>
      </c>
      <c r="B20">
        <v>530.27099999999996</v>
      </c>
      <c r="C20">
        <f t="shared" si="0"/>
        <v>33.576999999999941</v>
      </c>
      <c r="D20">
        <f t="shared" si="1"/>
        <v>0.2261762823751301</v>
      </c>
      <c r="F20">
        <v>2.0794000000000001</v>
      </c>
      <c r="G20">
        <v>980.93899999999996</v>
      </c>
      <c r="H20">
        <f t="shared" si="2"/>
        <v>210.75099999999998</v>
      </c>
      <c r="I20">
        <f t="shared" si="3"/>
        <v>1.8478058735486021E-2</v>
      </c>
      <c r="K20">
        <v>1.6996899999999999</v>
      </c>
      <c r="L20">
        <v>564.35299999999995</v>
      </c>
      <c r="M20">
        <f t="shared" si="4"/>
        <v>47.519999999999982</v>
      </c>
      <c r="N20">
        <f t="shared" si="5"/>
        <v>0.18939665686204168</v>
      </c>
      <c r="P20">
        <v>1.6996899999999999</v>
      </c>
      <c r="Q20">
        <v>570.81899999999996</v>
      </c>
      <c r="R20">
        <f t="shared" si="6"/>
        <v>46.04099999999994</v>
      </c>
      <c r="S20">
        <f t="shared" si="7"/>
        <v>2.8331737502676774E-2</v>
      </c>
      <c r="V20">
        <v>1.7566200000000001</v>
      </c>
      <c r="W20">
        <v>549.65899999999999</v>
      </c>
      <c r="X20">
        <f t="shared" si="8"/>
        <v>28.317999999999984</v>
      </c>
      <c r="Y20">
        <f t="shared" si="9"/>
        <v>0.14232224796578388</v>
      </c>
      <c r="AA20">
        <v>1.7566200000000001</v>
      </c>
      <c r="AB20">
        <v>664.02800000000002</v>
      </c>
      <c r="AC20">
        <f t="shared" si="10"/>
        <v>15.77800000000002</v>
      </c>
      <c r="AD20">
        <f t="shared" si="11"/>
        <v>5.2493263675014263E-3</v>
      </c>
      <c r="AF20">
        <v>1.7157</v>
      </c>
      <c r="AG20">
        <v>608.245</v>
      </c>
      <c r="AH20">
        <f t="shared" si="12"/>
        <v>75.188999999999965</v>
      </c>
      <c r="AI20">
        <f t="shared" si="13"/>
        <v>0.2282445366595531</v>
      </c>
      <c r="AK20">
        <v>1.7157</v>
      </c>
      <c r="AL20">
        <v>710.048</v>
      </c>
      <c r="AM20">
        <f t="shared" si="14"/>
        <v>176.99199999999996</v>
      </c>
      <c r="AN20">
        <f t="shared" si="15"/>
        <v>4.9379437026654371E-2</v>
      </c>
    </row>
    <row r="21" spans="1:40" x14ac:dyDescent="0.2">
      <c r="A21">
        <v>2.2017199999999999</v>
      </c>
      <c r="B21">
        <v>523.18799999999999</v>
      </c>
      <c r="C21">
        <f t="shared" si="0"/>
        <v>26.493999999999971</v>
      </c>
      <c r="D21">
        <f t="shared" si="1"/>
        <v>0.17846485466976503</v>
      </c>
      <c r="F21">
        <v>2.2017199999999999</v>
      </c>
      <c r="G21">
        <v>897.26599999999996</v>
      </c>
      <c r="H21">
        <f t="shared" si="2"/>
        <v>127.07799999999997</v>
      </c>
      <c r="I21">
        <f t="shared" si="3"/>
        <v>1.1141843920019798E-2</v>
      </c>
      <c r="K21">
        <v>1.7996799999999999</v>
      </c>
      <c r="L21">
        <v>546.40099999999995</v>
      </c>
      <c r="M21">
        <f t="shared" si="4"/>
        <v>29.567999999999984</v>
      </c>
      <c r="N21">
        <f t="shared" si="5"/>
        <v>0.11784680871415926</v>
      </c>
      <c r="P21">
        <v>1.7996799999999999</v>
      </c>
      <c r="Q21">
        <v>542.02</v>
      </c>
      <c r="R21">
        <f t="shared" si="6"/>
        <v>17.241999999999962</v>
      </c>
      <c r="S21">
        <f t="shared" si="7"/>
        <v>1.0610017550034805E-2</v>
      </c>
      <c r="V21">
        <v>1.85995</v>
      </c>
      <c r="W21">
        <v>569.98900000000003</v>
      </c>
      <c r="X21">
        <f t="shared" si="8"/>
        <v>48.648000000000025</v>
      </c>
      <c r="Y21">
        <f t="shared" si="9"/>
        <v>0.24449794191113289</v>
      </c>
      <c r="AA21">
        <v>1.85995</v>
      </c>
      <c r="AB21">
        <v>695</v>
      </c>
      <c r="AC21">
        <f t="shared" si="10"/>
        <v>46.75</v>
      </c>
      <c r="AD21">
        <f t="shared" si="11"/>
        <v>1.5553682829299744E-2</v>
      </c>
      <c r="AF21">
        <v>1.8166199999999999</v>
      </c>
      <c r="AG21">
        <v>607.93100000000004</v>
      </c>
      <c r="AH21">
        <f t="shared" si="12"/>
        <v>74.875</v>
      </c>
      <c r="AI21">
        <f t="shared" si="13"/>
        <v>0.22729135488414592</v>
      </c>
      <c r="AK21">
        <v>1.8166199999999999</v>
      </c>
      <c r="AL21">
        <v>642.779</v>
      </c>
      <c r="AM21">
        <f t="shared" si="14"/>
        <v>109.72299999999996</v>
      </c>
      <c r="AN21">
        <f t="shared" si="15"/>
        <v>3.0611891887066065E-2</v>
      </c>
    </row>
    <row r="22" spans="1:40" x14ac:dyDescent="0.2">
      <c r="A22">
        <v>2.3240400000000001</v>
      </c>
      <c r="B22">
        <v>534.07500000000005</v>
      </c>
      <c r="C22">
        <f t="shared" si="0"/>
        <v>37.381000000000029</v>
      </c>
      <c r="D22">
        <f t="shared" si="1"/>
        <v>0.25180020881748694</v>
      </c>
      <c r="F22">
        <v>2.3240400000000001</v>
      </c>
      <c r="G22">
        <v>862.08500000000004</v>
      </c>
      <c r="H22">
        <f t="shared" si="2"/>
        <v>91.897000000000048</v>
      </c>
      <c r="I22">
        <f t="shared" si="3"/>
        <v>8.0572721534652742E-3</v>
      </c>
      <c r="K22">
        <v>1.8996599999999999</v>
      </c>
      <c r="L22">
        <v>554.65599999999995</v>
      </c>
      <c r="M22">
        <f t="shared" si="4"/>
        <v>37.822999999999979</v>
      </c>
      <c r="N22">
        <f t="shared" si="5"/>
        <v>0.15074810085212545</v>
      </c>
      <c r="P22">
        <v>1.8996599999999999</v>
      </c>
      <c r="Q22">
        <v>567.37199999999996</v>
      </c>
      <c r="R22">
        <f t="shared" si="6"/>
        <v>42.593999999999937</v>
      </c>
      <c r="S22">
        <f t="shared" si="7"/>
        <v>2.6210595495080782E-2</v>
      </c>
      <c r="V22">
        <v>1.9632799999999999</v>
      </c>
      <c r="W22">
        <v>579.16</v>
      </c>
      <c r="X22">
        <f t="shared" si="8"/>
        <v>57.81899999999996</v>
      </c>
      <c r="Y22">
        <f t="shared" si="9"/>
        <v>0.29059008599243086</v>
      </c>
      <c r="AA22">
        <v>1.9632799999999999</v>
      </c>
      <c r="AB22">
        <v>673.01900000000001</v>
      </c>
      <c r="AC22">
        <f t="shared" si="10"/>
        <v>24.769000000000005</v>
      </c>
      <c r="AD22">
        <f t="shared" si="11"/>
        <v>8.2406239571962657E-3</v>
      </c>
      <c r="AF22">
        <v>1.91754</v>
      </c>
      <c r="AG22">
        <v>558.82799999999997</v>
      </c>
      <c r="AH22">
        <f t="shared" si="12"/>
        <v>25.771999999999935</v>
      </c>
      <c r="AI22">
        <f t="shared" si="13"/>
        <v>7.8233760241391573E-2</v>
      </c>
      <c r="AK22">
        <v>1.91754</v>
      </c>
      <c r="AL22">
        <v>675.31700000000001</v>
      </c>
      <c r="AM22">
        <f t="shared" si="14"/>
        <v>142.26099999999997</v>
      </c>
      <c r="AN22">
        <f t="shared" si="15"/>
        <v>3.9689749202499985E-2</v>
      </c>
    </row>
    <row r="23" spans="1:40" x14ac:dyDescent="0.2">
      <c r="A23">
        <v>2.4463499999999998</v>
      </c>
      <c r="B23">
        <v>563.39300000000003</v>
      </c>
      <c r="C23">
        <f t="shared" si="0"/>
        <v>66.699000000000012</v>
      </c>
      <c r="D23">
        <f t="shared" si="1"/>
        <v>0.44928766292816008</v>
      </c>
      <c r="F23">
        <v>2.4463499999999998</v>
      </c>
      <c r="G23">
        <v>864.59699999999998</v>
      </c>
      <c r="H23">
        <f t="shared" si="2"/>
        <v>94.408999999999992</v>
      </c>
      <c r="I23">
        <f t="shared" si="3"/>
        <v>8.2775172936712035E-3</v>
      </c>
      <c r="K23">
        <v>1.9996400000000001</v>
      </c>
      <c r="L23">
        <v>576.69399999999996</v>
      </c>
      <c r="M23">
        <f t="shared" si="4"/>
        <v>59.86099999999999</v>
      </c>
      <c r="N23">
        <f t="shared" si="5"/>
        <v>0.23858319184382745</v>
      </c>
      <c r="P23">
        <v>1.9996400000000001</v>
      </c>
      <c r="Q23">
        <v>578.37599999999998</v>
      </c>
      <c r="R23">
        <f t="shared" si="6"/>
        <v>53.597999999999956</v>
      </c>
      <c r="S23">
        <f t="shared" si="7"/>
        <v>3.2982004445352417E-2</v>
      </c>
      <c r="V23">
        <v>2.0666099999999998</v>
      </c>
      <c r="W23">
        <v>554.25</v>
      </c>
      <c r="X23">
        <f t="shared" si="8"/>
        <v>32.908999999999992</v>
      </c>
      <c r="Y23">
        <f t="shared" si="9"/>
        <v>0.16539596222565092</v>
      </c>
      <c r="AA23">
        <v>2.0666099999999998</v>
      </c>
      <c r="AB23">
        <v>661.04</v>
      </c>
      <c r="AC23">
        <f t="shared" si="10"/>
        <v>12.789999999999964</v>
      </c>
      <c r="AD23">
        <f t="shared" si="11"/>
        <v>4.2552214628180356E-3</v>
      </c>
      <c r="AF23">
        <v>2.0184700000000002</v>
      </c>
      <c r="AG23">
        <v>533.79300000000001</v>
      </c>
      <c r="AH23">
        <f t="shared" si="12"/>
        <v>0.73699999999996635</v>
      </c>
      <c r="AI23">
        <f t="shared" si="13"/>
        <v>2.2372451225323256E-3</v>
      </c>
      <c r="AK23">
        <v>2.0184700000000002</v>
      </c>
      <c r="AL23">
        <v>642.73</v>
      </c>
      <c r="AM23">
        <f t="shared" si="14"/>
        <v>109.67399999999998</v>
      </c>
      <c r="AN23">
        <f t="shared" si="15"/>
        <v>3.0598221255544272E-2</v>
      </c>
    </row>
    <row r="24" spans="1:40" x14ac:dyDescent="0.2">
      <c r="A24">
        <v>2.56867</v>
      </c>
      <c r="B24">
        <v>536.18799999999999</v>
      </c>
      <c r="C24">
        <f t="shared" si="0"/>
        <v>39.493999999999971</v>
      </c>
      <c r="D24">
        <f t="shared" si="1"/>
        <v>0.26603347815836426</v>
      </c>
      <c r="F24">
        <v>2.56867</v>
      </c>
      <c r="G24">
        <v>871.56200000000001</v>
      </c>
      <c r="H24">
        <f t="shared" si="2"/>
        <v>101.37400000000002</v>
      </c>
      <c r="I24">
        <f t="shared" si="3"/>
        <v>8.8881890299507983E-3</v>
      </c>
      <c r="K24">
        <v>2.0996199999999998</v>
      </c>
      <c r="L24">
        <v>564.72199999999998</v>
      </c>
      <c r="M24">
        <f t="shared" si="4"/>
        <v>47.88900000000001</v>
      </c>
      <c r="N24">
        <f t="shared" si="5"/>
        <v>0.19086735059903873</v>
      </c>
      <c r="P24">
        <v>2.0996199999999998</v>
      </c>
      <c r="Q24">
        <v>524.77800000000002</v>
      </c>
      <c r="R24">
        <f t="shared" si="6"/>
        <v>0</v>
      </c>
      <c r="S24">
        <f t="shared" si="7"/>
        <v>0</v>
      </c>
      <c r="V24">
        <v>2.16994</v>
      </c>
      <c r="W24">
        <v>551.72900000000004</v>
      </c>
      <c r="X24">
        <f t="shared" si="8"/>
        <v>30.388000000000034</v>
      </c>
      <c r="Y24">
        <f t="shared" si="9"/>
        <v>0.15272577410778471</v>
      </c>
      <c r="AA24">
        <v>2.16994</v>
      </c>
      <c r="AB24">
        <v>663.6</v>
      </c>
      <c r="AC24">
        <f t="shared" si="10"/>
        <v>15.350000000000023</v>
      </c>
      <c r="AD24">
        <f t="shared" si="11"/>
        <v>5.1069311535775711E-3</v>
      </c>
      <c r="AF24">
        <v>2.1193900000000001</v>
      </c>
      <c r="AG24">
        <v>589.08900000000006</v>
      </c>
      <c r="AH24">
        <f t="shared" si="12"/>
        <v>56.033000000000015</v>
      </c>
      <c r="AI24">
        <f t="shared" si="13"/>
        <v>0.17009437713820838</v>
      </c>
      <c r="AK24">
        <v>2.1193900000000001</v>
      </c>
      <c r="AL24">
        <v>634.851</v>
      </c>
      <c r="AM24">
        <f t="shared" si="14"/>
        <v>101.79499999999996</v>
      </c>
      <c r="AN24">
        <f t="shared" si="15"/>
        <v>2.8400039505335161E-2</v>
      </c>
    </row>
    <row r="25" spans="1:40" x14ac:dyDescent="0.2">
      <c r="B25">
        <f xml:space="preserve"> MIN(B3:B24)</f>
        <v>496.69400000000002</v>
      </c>
      <c r="C25">
        <f xml:space="preserve"> MAX(C3:C24)</f>
        <v>148.45499999999998</v>
      </c>
      <c r="G25">
        <f xml:space="preserve"> MIN(G3:G24)</f>
        <v>770.18799999999999</v>
      </c>
      <c r="H25">
        <f xml:space="preserve"> MAX(H3:H24)</f>
        <v>11405.473</v>
      </c>
      <c r="L25">
        <f xml:space="preserve"> MIN(L3:L24)</f>
        <v>516.83299999999997</v>
      </c>
      <c r="M25">
        <f xml:space="preserve"> MAX(M3:M24)</f>
        <v>250.90200000000004</v>
      </c>
      <c r="Q25">
        <f xml:space="preserve"> MIN(Q3:Q24)</f>
        <v>524.77800000000002</v>
      </c>
      <c r="R25">
        <f xml:space="preserve"> MAX(R3:R24)</f>
        <v>1625.068</v>
      </c>
      <c r="W25">
        <f xml:space="preserve"> MIN(W3:W24)</f>
        <v>521.34100000000001</v>
      </c>
      <c r="X25">
        <f xml:space="preserve"> MAX(X3:X24)</f>
        <v>198.971</v>
      </c>
      <c r="AB25">
        <f xml:space="preserve"> MIN(AB3:AB24)</f>
        <v>648.25</v>
      </c>
      <c r="AC25">
        <f xml:space="preserve"> MAX(AC3:AC24)</f>
        <v>3005.7190000000001</v>
      </c>
      <c r="AG25">
        <f xml:space="preserve"> MIN(AG3:AG24)</f>
        <v>533.05600000000004</v>
      </c>
      <c r="AH25">
        <f xml:space="preserve"> MAX(AH3:AH24)</f>
        <v>329.423</v>
      </c>
      <c r="AL25">
        <f xml:space="preserve"> MIN(AL3:AL24)</f>
        <v>542.90599999999995</v>
      </c>
      <c r="AM25">
        <f xml:space="preserve"> MAX(AM3:AM24)</f>
        <v>3584.3259999999996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Gemechu Mekonnen</dc:creator>
  <cp:lastModifiedBy>Gemechu Mekonnen</cp:lastModifiedBy>
  <dcterms:created xsi:type="dcterms:W3CDTF">2025-07-28T23:04:13Z</dcterms:created>
  <dcterms:modified xsi:type="dcterms:W3CDTF">2025-08-12T15:35:09Z</dcterms:modified>
</cp:coreProperties>
</file>