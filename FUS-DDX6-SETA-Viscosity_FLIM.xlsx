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gemechu/Downloads/"/>
    </mc:Choice>
  </mc:AlternateContent>
  <xr:revisionPtr revIDLastSave="0" documentId="13_ncr:1_{47272974-E6B7-0947-932B-A3476793703E}" xr6:coauthVersionLast="47" xr6:coauthVersionMax="47" xr10:uidLastSave="{00000000-0000-0000-0000-000000000000}"/>
  <bookViews>
    <workbookView xWindow="1020" yWindow="620" windowWidth="27780" windowHeight="17400" tabRatio="500" activeTab="1" xr2:uid="{00000000-000D-0000-FFFF-FFFF00000000}"/>
  </bookViews>
  <sheets>
    <sheet name="SetA_Lifetime_to_Viscosity" sheetId="1" r:id="rId1"/>
    <sheet name="data for calibration curve" sheetId="2" r:id="rId2"/>
  </sheets>
  <definedNames>
    <definedName name="_xlchart.v1.0" hidden="1">'data for calibration curve'!$D$3:$D$12</definedName>
    <definedName name="_xlchart.v1.1" hidden="1">'data for calibration curve'!$E$2</definedName>
    <definedName name="_xlchart.v1.2" hidden="1">'data for calibration curve'!$E$3:$E$12</definedName>
    <definedName name="_xlchart.v1.3" hidden="1">'data for calibration curve'!$D$3:$D$12</definedName>
    <definedName name="_xlchart.v1.4" hidden="1">'data for calibration curve'!$E$2</definedName>
    <definedName name="_xlchart.v1.5" hidden="1">'data for calibration curve'!$E$3:$E$12</definedName>
    <definedName name="_xlchart.v1.6" hidden="1">'data for calibration curve'!$A$3:$A$14</definedName>
    <definedName name="_xlchart.v1.7" hidden="1">'data for calibration curve'!$B$2</definedName>
    <definedName name="_xlchart.v1.8" hidden="1">'data for calibration curve'!$B$3:$B$14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52" i="2" l="1"/>
  <c r="C42" i="1" a="1"/>
  <c r="C42" i="1" s="1"/>
  <c r="D42" i="1" a="1"/>
  <c r="D42" i="1" s="1"/>
  <c r="E42" i="1" a="1"/>
  <c r="E42" i="1" s="1"/>
  <c r="B42" i="1" a="1"/>
  <c r="B42" i="1" s="1"/>
  <c r="D41" i="1"/>
  <c r="E41" i="1" s="1"/>
  <c r="B41" i="1"/>
  <c r="C41" i="1" s="1"/>
  <c r="D40" i="1"/>
  <c r="E40" i="1" s="1"/>
  <c r="B40" i="1"/>
  <c r="C40" i="1" s="1"/>
  <c r="F39" i="1"/>
  <c r="E39" i="1"/>
  <c r="C39" i="1"/>
  <c r="F38" i="1"/>
  <c r="E38" i="1"/>
  <c r="C38" i="1"/>
  <c r="F37" i="1"/>
  <c r="E37" i="1"/>
  <c r="C37" i="1"/>
  <c r="F36" i="1"/>
  <c r="E36" i="1"/>
  <c r="C36" i="1"/>
  <c r="F35" i="1"/>
  <c r="E35" i="1"/>
  <c r="C35" i="1"/>
  <c r="F34" i="1"/>
  <c r="E34" i="1"/>
  <c r="C34" i="1"/>
  <c r="F33" i="1"/>
  <c r="E33" i="1"/>
  <c r="C33" i="1"/>
  <c r="F32" i="1"/>
  <c r="E32" i="1"/>
  <c r="C32" i="1"/>
  <c r="F31" i="1"/>
  <c r="E31" i="1"/>
  <c r="C31" i="1"/>
  <c r="F30" i="1"/>
  <c r="E30" i="1"/>
  <c r="C30" i="1"/>
  <c r="F29" i="1"/>
  <c r="E29" i="1"/>
  <c r="C29" i="1"/>
  <c r="F28" i="1"/>
  <c r="E28" i="1"/>
  <c r="C28" i="1"/>
  <c r="F27" i="1"/>
  <c r="E27" i="1"/>
  <c r="C27" i="1"/>
  <c r="F26" i="1"/>
  <c r="E26" i="1"/>
  <c r="C26" i="1"/>
  <c r="F25" i="1"/>
  <c r="E25" i="1"/>
  <c r="C25" i="1"/>
  <c r="F24" i="1"/>
  <c r="E24" i="1"/>
  <c r="C24" i="1"/>
  <c r="F23" i="1"/>
  <c r="E23" i="1"/>
  <c r="C23" i="1"/>
  <c r="F22" i="1"/>
  <c r="E22" i="1"/>
  <c r="C22" i="1"/>
  <c r="F21" i="1"/>
  <c r="E21" i="1"/>
  <c r="C21" i="1"/>
  <c r="F20" i="1"/>
  <c r="E20" i="1"/>
  <c r="C20" i="1"/>
  <c r="F19" i="1"/>
  <c r="E19" i="1"/>
  <c r="C19" i="1"/>
  <c r="F18" i="1"/>
  <c r="E18" i="1"/>
  <c r="C18" i="1"/>
  <c r="F17" i="1"/>
  <c r="E17" i="1"/>
  <c r="C17" i="1"/>
  <c r="F16" i="1"/>
  <c r="E16" i="1"/>
  <c r="C16" i="1"/>
  <c r="F15" i="1"/>
  <c r="E15" i="1"/>
  <c r="C15" i="1"/>
  <c r="F14" i="1"/>
  <c r="E14" i="1"/>
  <c r="C14" i="1"/>
  <c r="F13" i="1"/>
  <c r="E13" i="1"/>
  <c r="C13" i="1"/>
  <c r="F12" i="1"/>
  <c r="E12" i="1"/>
  <c r="C12" i="1"/>
  <c r="F11" i="1"/>
  <c r="E11" i="1"/>
  <c r="C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<sst xmlns="http://schemas.openxmlformats.org/spreadsheetml/2006/main" count="25" uniqueCount="25">
  <si>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FUS / FUS-DDX6 (set a) lifetimes converted to viscosity</t>
  </si>
  <si>
    <t>Calibration fit (η ≥ 20 cP):  log10(τ) = a + x·log10(η)</t>
  </si>
  <si>
    <t>a (intercept)</t>
  </si>
  <si>
    <t>x (slope)</t>
  </si>
  <si>
    <t>R²</t>
  </si>
  <si>
    <t>Sensitivity floor τ (ns)</t>
  </si>
  <si>
    <t>τ ≤ this → flat region, not invertible</t>
  </si>
  <si>
    <t>Inversion:  η = 10^((LOG10(τ) − a) / x)</t>
  </si>
  <si>
    <t>#</t>
  </si>
  <si>
    <t>FUS τ (ns)</t>
  </si>
  <si>
    <t>FUS η (cP)</t>
  </si>
  <si>
    <t>FUS-DDX6 τ (ns)</t>
  </si>
  <si>
    <t>FUS-DDX6 η (cP)</t>
  </si>
  <si>
    <t>Median</t>
  </si>
  <si>
    <t>Mean</t>
  </si>
  <si>
    <t>viscosity1</t>
  </si>
  <si>
    <t>lifetime1</t>
  </si>
  <si>
    <t>lifetime2</t>
  </si>
  <si>
    <t>viscosity2</t>
  </si>
  <si>
    <t>Note: I combined both data sets to construct the calibration curve</t>
  </si>
  <si>
    <t>Note: forget right and top axis</t>
  </si>
  <si>
    <t>SEM</t>
  </si>
  <si>
    <t xml:space="preserve">FUS </t>
  </si>
  <si>
    <t>FUS+DDX6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</si>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</sst>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FF"/>
      <name val="Arial"/>
      <family val="2"/>
    </font>
    <font>
      <i/>
      <sz val="9"/>
      <name val="Arial"/>
      <family val="2"/>
    </font>
    <font>
      <i/>
      <sz val="11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7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4FF"/>
      <color rgb="FFA7CDE5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FUS</a:t>
            </a:r>
            <a:r>
              <a:rPr lang="en-US" baseline="0"/>
              <a:t> droplet viscosity </a:t>
            </a:r>
            <a:endParaRPr lang="en-US"/>
          </a:p>
        </c:rich>
      </c:tx>
      <c:layout>
        <c:manualLayout>
          <c:xMode val="edge"/>
          <c:yMode val="edge"/>
          <c:x val="0.52747900262467196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 w="9525">
              <a:solidFill>
                <a:srgbClr val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 w="9525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757-404A-BC17-889D9C6B42FA}"/>
              </c:ext>
            </c:extLst>
          </c:dPt>
          <c:dPt>
            <c:idx val="1"/>
            <c:invertIfNegative val="0"/>
            <c:bubble3D val="0"/>
            <c:spPr>
              <a:solidFill>
                <a:srgbClr val="FF74FF"/>
              </a:solidFill>
              <a:ln w="9525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757-404A-BC17-889D9C6B42FA}"/>
              </c:ext>
            </c:extLst>
          </c:dPt>
          <c:errBars>
            <c:errBarType val="both"/>
            <c:errValType val="cust"/>
            <c:noEndCap val="0"/>
            <c:plus>
              <c:numRef>
                <c:f>SetA_Lifetime_to_Viscosity!$K$26:$L$26</c:f>
                <c:numCache>
                  <c:formatCode>General</c:formatCode>
                  <c:ptCount val="2"/>
                  <c:pt idx="0">
                    <c:v>5.4272439246769686</c:v>
                  </c:pt>
                  <c:pt idx="1">
                    <c:v>6.3352802260947323</c:v>
                  </c:pt>
                </c:numCache>
              </c:numRef>
            </c:plus>
            <c:minus>
              <c:numRef>
                <c:f>SetA_Lifetime_to_Viscosity!$K$26:$L$26</c:f>
                <c:numCache>
                  <c:formatCode>General</c:formatCode>
                  <c:ptCount val="2"/>
                  <c:pt idx="0">
                    <c:v>5.4272439246769686</c:v>
                  </c:pt>
                  <c:pt idx="1">
                    <c:v>6.3352802260947323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SetA_Lifetime_to_Viscosity!$K$24:$L$24</c:f>
              <c:strCache>
                <c:ptCount val="2"/>
                <c:pt idx="0">
                  <c:v>FUS </c:v>
                </c:pt>
                <c:pt idx="1">
                  <c:v>FUS+DDX6</c:v>
                </c:pt>
              </c:strCache>
            </c:strRef>
          </c:cat>
          <c:val>
            <c:numRef>
              <c:f>SetA_Lifetime_to_Viscosity!$K$25:$L$25</c:f>
              <c:numCache>
                <c:formatCode>0</c:formatCode>
                <c:ptCount val="2"/>
                <c:pt idx="0">
                  <c:v>93.567104509546937</c:v>
                </c:pt>
                <c:pt idx="1">
                  <c:v>64.142592349473645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3-8341-8055-631A3141F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4354383"/>
        <c:axId val="384887904"/>
      </c:barChart>
      <c:catAx>
        <c:axId val="734354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384887904"/>
        <c:crosses val="autoZero"/>
        <c:auto val="1"/>
        <c:lblAlgn val="ctr"/>
        <c:lblOffset val="100"/>
        <c:noMultiLvlLbl val="0"/>
      </c:catAx>
      <c:valAx>
        <c:axId val="38488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l-GR" sz="1600">
                    <a:solidFill>
                      <a:schemeClr val="tx1"/>
                    </a:solidFill>
                  </a:rPr>
                  <a:t>η (</a:t>
                </a:r>
                <a:r>
                  <a:rPr lang="en-US" sz="1600">
                    <a:solidFill>
                      <a:schemeClr val="tx1"/>
                    </a:solidFill>
                  </a:rPr>
                  <a:t>cP)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453211577719451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734354383"/>
        <c:crosses val="autoZero"/>
        <c:crossBetween val="between"/>
        <c:majorUnit val="2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Manufacturer calibration curve </a:t>
            </a:r>
          </a:p>
        </c:rich>
      </c:tx>
      <c:layout>
        <c:manualLayout>
          <c:xMode val="edge"/>
          <c:yMode val="edge"/>
          <c:x val="0.2461646514597097"/>
          <c:y val="3.5871717397628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97151121791114"/>
          <c:y val="0.12328469895360891"/>
          <c:w val="0.81140243551122326"/>
          <c:h val="0.75167501918764557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for calibration curve'!$B$2</c:f>
              <c:strCache>
                <c:ptCount val="1"/>
                <c:pt idx="0">
                  <c:v>lifetime1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2824535680234175"/>
                  <c:y val="-6.03537287464692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Helvetica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for calibration curve'!$A$3:$A$14</c:f>
              <c:numCache>
                <c:formatCode>General</c:formatCode>
                <c:ptCount val="12"/>
                <c:pt idx="0">
                  <c:v>1</c:v>
                </c:pt>
                <c:pt idx="1">
                  <c:v>1.3</c:v>
                </c:pt>
                <c:pt idx="2">
                  <c:v>1.8</c:v>
                </c:pt>
                <c:pt idx="3">
                  <c:v>2.8</c:v>
                </c:pt>
                <c:pt idx="4">
                  <c:v>4.5</c:v>
                </c:pt>
                <c:pt idx="5">
                  <c:v>7.5</c:v>
                </c:pt>
                <c:pt idx="6">
                  <c:v>14</c:v>
                </c:pt>
                <c:pt idx="7">
                  <c:v>32</c:v>
                </c:pt>
                <c:pt idx="8">
                  <c:v>85</c:v>
                </c:pt>
                <c:pt idx="9">
                  <c:v>220</c:v>
                </c:pt>
                <c:pt idx="10">
                  <c:v>620</c:v>
                </c:pt>
                <c:pt idx="11">
                  <c:v>1410</c:v>
                </c:pt>
              </c:numCache>
            </c:numRef>
          </c:xVal>
          <c:yVal>
            <c:numRef>
              <c:f>'data for calibration curve'!$B$3:$B$14</c:f>
              <c:numCache>
                <c:formatCode>General</c:formatCode>
                <c:ptCount val="12"/>
                <c:pt idx="0">
                  <c:v>0.8</c:v>
                </c:pt>
                <c:pt idx="1">
                  <c:v>0.78</c:v>
                </c:pt>
                <c:pt idx="2">
                  <c:v>0.84</c:v>
                </c:pt>
                <c:pt idx="3">
                  <c:v>0.83</c:v>
                </c:pt>
                <c:pt idx="4">
                  <c:v>0.89</c:v>
                </c:pt>
                <c:pt idx="5">
                  <c:v>0.84</c:v>
                </c:pt>
                <c:pt idx="6">
                  <c:v>0.9</c:v>
                </c:pt>
                <c:pt idx="7">
                  <c:v>1.1000000000000001</c:v>
                </c:pt>
                <c:pt idx="8">
                  <c:v>1.48</c:v>
                </c:pt>
                <c:pt idx="9">
                  <c:v>2.13</c:v>
                </c:pt>
                <c:pt idx="10">
                  <c:v>2.65</c:v>
                </c:pt>
                <c:pt idx="11">
                  <c:v>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8B-DB40-98A1-ACC7D4B70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800384"/>
        <c:axId val="1827814720"/>
      </c:scatterChart>
      <c:valAx>
        <c:axId val="1827800384"/>
        <c:scaling>
          <c:logBase val="10"/>
          <c:orientation val="minMax"/>
          <c:max val="3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Log (viscosity)  </a:t>
                </a:r>
              </a:p>
            </c:rich>
          </c:tx>
          <c:layout>
            <c:manualLayout>
              <c:xMode val="edge"/>
              <c:yMode val="edge"/>
              <c:x val="0.40539320250206529"/>
              <c:y val="0.94642069846881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27814720"/>
        <c:crosses val="autoZero"/>
        <c:crossBetween val="midCat"/>
      </c:valAx>
      <c:valAx>
        <c:axId val="1827814720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Log  (Lifetime) </a:t>
                </a:r>
              </a:p>
            </c:rich>
          </c:tx>
          <c:layout>
            <c:manualLayout>
              <c:xMode val="edge"/>
              <c:yMode val="edge"/>
              <c:x val="0"/>
              <c:y val="0.403417904480575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2780038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Experimental calibration curve </a:t>
            </a:r>
          </a:p>
        </c:rich>
      </c:tx>
      <c:layout>
        <c:manualLayout>
          <c:xMode val="edge"/>
          <c:yMode val="edge"/>
          <c:x val="0.27382663013575625"/>
          <c:y val="4.5438793587252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07094991807311"/>
          <c:y val="0.12270109860678219"/>
          <c:w val="0.80320860716946096"/>
          <c:h val="0.7463592741651069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for calibration curve'!$E$2</c:f>
              <c:strCache>
                <c:ptCount val="1"/>
                <c:pt idx="0">
                  <c:v>lifetime2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2824535680234175"/>
                  <c:y val="-6.03537287464692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Helvetica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for calibration curve'!$D$3:$D$12</c:f>
              <c:numCache>
                <c:formatCode>General</c:formatCode>
                <c:ptCount val="10"/>
                <c:pt idx="0">
                  <c:v>20</c:v>
                </c:pt>
                <c:pt idx="1">
                  <c:v>35</c:v>
                </c:pt>
                <c:pt idx="2">
                  <c:v>85</c:v>
                </c:pt>
                <c:pt idx="3">
                  <c:v>150</c:v>
                </c:pt>
                <c:pt idx="4">
                  <c:v>250</c:v>
                </c:pt>
                <c:pt idx="5">
                  <c:v>400</c:v>
                </c:pt>
                <c:pt idx="6">
                  <c:v>550</c:v>
                </c:pt>
                <c:pt idx="7">
                  <c:v>700</c:v>
                </c:pt>
                <c:pt idx="8">
                  <c:v>950</c:v>
                </c:pt>
                <c:pt idx="9">
                  <c:v>1211</c:v>
                </c:pt>
              </c:numCache>
            </c:numRef>
          </c:xVal>
          <c:yVal>
            <c:numRef>
              <c:f>'data for calibration curve'!$E$3:$E$12</c:f>
              <c:numCache>
                <c:formatCode>General</c:formatCode>
                <c:ptCount val="10"/>
                <c:pt idx="0">
                  <c:v>0.75</c:v>
                </c:pt>
                <c:pt idx="1">
                  <c:v>0.9</c:v>
                </c:pt>
                <c:pt idx="2">
                  <c:v>1.4</c:v>
                </c:pt>
                <c:pt idx="3">
                  <c:v>1.8</c:v>
                </c:pt>
                <c:pt idx="4">
                  <c:v>2.1</c:v>
                </c:pt>
                <c:pt idx="5">
                  <c:v>2.2999999999999998</c:v>
                </c:pt>
                <c:pt idx="6">
                  <c:v>2.5</c:v>
                </c:pt>
                <c:pt idx="7">
                  <c:v>2.7</c:v>
                </c:pt>
                <c:pt idx="8">
                  <c:v>2.95</c:v>
                </c:pt>
                <c:pt idx="9">
                  <c:v>3.1256900000000001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8B-DB40-98A1-ACC7D4B70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800384"/>
        <c:axId val="1827814720"/>
      </c:scatterChart>
      <c:valAx>
        <c:axId val="1827800384"/>
        <c:scaling>
          <c:logBase val="10"/>
          <c:orientation val="minMax"/>
          <c:max val="3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Log (viscosity)  </a:t>
                </a:r>
              </a:p>
            </c:rich>
          </c:tx>
          <c:layout>
            <c:manualLayout>
              <c:xMode val="edge"/>
              <c:yMode val="edge"/>
              <c:x val="0.41226634755003944"/>
              <c:y val="0.940183073870495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27814720"/>
        <c:crosses val="autoZero"/>
        <c:crossBetween val="midCat"/>
      </c:valAx>
      <c:valAx>
        <c:axId val="1827814720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Log  (Lifetime) </a:t>
                </a:r>
              </a:p>
            </c:rich>
          </c:tx>
          <c:layout>
            <c:manualLayout>
              <c:xMode val="edge"/>
              <c:yMode val="edge"/>
              <c:x val="5.4826585022542578E-3"/>
              <c:y val="0.392880727511375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2780038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596900</xdr:colOff>
      <xdr:row>29</xdr:row>
      <xdr:rowOff>146050</xdr:rowOff>
    </xdr:from>
    <xdr:to>
      <xdr:col>15</xdr:col>
      <xdr:colOff>546100</xdr:colOff>
      <xdr:row>44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75021-C2A0-1B09-4D09-885D62195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28802</xdr:rowOff>
    </xdr:from>
    <xdr:to>
      <xdr:col>14</xdr:col>
      <xdr:colOff>63500</xdr:colOff>
      <xdr:row>19</xdr:row>
      <xdr:rowOff>145704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1482FF-A082-CF8B-75C8-1CE8D099B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28802"/>
          <a:ext cx="4330700" cy="3615752"/>
        </a:xfrm>
        <a:prstGeom prst="rect">
          <a:avLst/>
        </a:prstGeom>
      </xdr:spPr>
    </xdr:pic>
    <xdr:clientData/>
  </xdr:twoCellAnchor>
  <xdr:twoCellAnchor>
    <xdr:from>
      <xdr:col>2</xdr:col>
      <xdr:colOff>149224</xdr:colOff>
      <xdr:row>22</xdr:row>
      <xdr:rowOff>41274</xdr:rowOff>
    </xdr:from>
    <xdr:to>
      <xdr:col>11</xdr:col>
      <xdr:colOff>387349</xdr:colOff>
      <xdr:row>48</xdr:row>
      <xdr:rowOff>88900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39DD9D6-1359-5EF4-B6C3-B93C0C877EFC}"/>
            </a:ext>
          </a:extLst>
        </xdr:cNvPr>
        <xdr:cNvSpPr txBox="1"/>
      </xdr:nvSpPr>
      <xdr:spPr>
        <a:xfrm>
          <a:off x="1368424" y="4092574"/>
          <a:ext cx="5724525" cy="4835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Two independent calibration series (one our own data, and other from the website from where the dye is bought) of (viscosity, lifetime) pairs were used in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water–glycerol mixtures spanning η ≈ 1–1410 cP.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Below roughly 20 cP the dye lifetime is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(τ ≈ 0.8–0.9 ns) and does not track viscosity, so the dye is only informative above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threshold. The two series agree well over the responsive range and were therefore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pooled, keeping only points with η ≥ 20 cP.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 the responsive range the dye follows a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law between lifetime and viscosity that is linear in log–log space: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log10(τ) = a + x · log10(η)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linear least-squares fit of log10(τ) against log10(η) on the pooled η ≥ 20 cP points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gave: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a (intercept) = −0.497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x (slope)     =  0.330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R²            =  0.973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calibration is valid for η ≈ 20–1410 cP (τ ≈ 0.9–3.35 ns).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Converting lifetimes to viscosity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calibration was inverted to obtain viscosity from each measured lifetime: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η = 10^((log10(τ) − a) / x)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>
    <xdr:from>
      <xdr:col>13</xdr:col>
      <xdr:colOff>381940</xdr:colOff>
      <xdr:row>21</xdr:row>
      <xdr:rowOff>6349</xdr:rowOff>
    </xdr:from>
    <xdr:to>
      <xdr:col>20</xdr:col>
      <xdr:colOff>234949</xdr:colOff>
      <xdr:row>41</xdr:row>
      <xdr:rowOff>90782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59E70C-A828-4B02-83D4-E1A41FAF6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472611</xdr:colOff>
      <xdr:row>20</xdr:row>
      <xdr:rowOff>138201</xdr:rowOff>
    </xdr:from>
    <xdr:to>
      <xdr:col>27</xdr:col>
      <xdr:colOff>393700</xdr:colOff>
      <xdr:row>41</xdr:row>
      <xdr:rowOff>50657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E5FD4B-8037-5091-E066-E7FA0041F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Red Violet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zoomScaleNormal="100" workbookViewId="0">
      <pane ySplit="10" topLeftCell="A41" activePane="bottomLeft" state="frozen"/>
      <selection pane="bottomLeft" activeCell="G20" sqref="G20"/>
    </sheetView>
  </sheetViews>
  <sheetFormatPr baseColWidth="10" defaultColWidth="8.6640625" defaultRowHeight="15" x14ac:dyDescent="0.2"/>
  <cols>
    <col min="1" max="1" width="18.5" bestFit="1" customWidth="1"/>
    <col min="2" max="2" width="10" bestFit="1" customWidth="1"/>
    <col min="3" max="5" width="15" customWidth="1"/>
    <col min="6" max="6" width="12" customWidth="1"/>
  </cols>
  <sheetData>
    <row r="1" spans="1:6" ht="17" x14ac:dyDescent="0.2">
      <c r="A1" s="12" t="s">
        <v>0</v>
      </c>
      <c r="B1" s="12"/>
      <c r="C1" s="12"/>
      <c r="D1" s="12"/>
      <c r="E1" s="12"/>
      <c r="F1" s="12"/>
    </row>
    <row r="3" spans="1:6" x14ac:dyDescent="0.2">
      <c r="A3" s="13" t="s">
        <v>1</v>
      </c>
      <c r="B3" s="13"/>
      <c r="C3" s="13"/>
      <c r="D3" s="13"/>
      <c r="E3" s="13"/>
      <c r="F3" s="13"/>
    </row>
    <row r="4" spans="1:6" x14ac:dyDescent="0.2">
      <c r="A4" s="1" t="s">
        <v>2</v>
      </c>
      <c r="B4" s="2">
        <v>-0.49691999999999997</v>
      </c>
    </row>
    <row r="5" spans="1:6" x14ac:dyDescent="0.2">
      <c r="A5" s="1" t="s">
        <v>3</v>
      </c>
      <c r="B5" s="2">
        <v>0.32990999999999998</v>
      </c>
    </row>
    <row r="6" spans="1:6" x14ac:dyDescent="0.2">
      <c r="A6" s="1" t="s">
        <v>4</v>
      </c>
      <c r="B6" s="2">
        <v>0.9728</v>
      </c>
    </row>
    <row r="7" spans="1:6" x14ac:dyDescent="0.2">
      <c r="A7" s="1" t="s">
        <v>5</v>
      </c>
      <c r="B7" s="2">
        <v>0.9</v>
      </c>
      <c r="C7" s="3" t="s">
        <v>6</v>
      </c>
    </row>
    <row r="8" spans="1:6" x14ac:dyDescent="0.2">
      <c r="A8" s="14" t="s">
        <v>7</v>
      </c>
      <c r="B8" s="14"/>
      <c r="C8" s="14"/>
      <c r="D8" s="14"/>
      <c r="E8" s="14"/>
      <c r="F8" s="14"/>
    </row>
    <row r="10" spans="1:6" x14ac:dyDescent="0.2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</row>
    <row r="11" spans="1:6" x14ac:dyDescent="0.2">
      <c r="A11" s="5">
        <v>1</v>
      </c>
      <c r="B11" s="5">
        <v>1.43</v>
      </c>
      <c r="C11" s="6">
        <f t="shared" ref="C11:C39" si="0">IF(B11&lt;=$B$7,"—",10^((LOG10(B11)-$B$4)/$B$5))</f>
        <v>94.857712738776215</v>
      </c>
      <c r="D11" s="5">
        <v>1.5009999999999999</v>
      </c>
      <c r="E11" s="6">
        <f t="shared" ref="E11:E39" si="1">IF(D11&lt;=$B$7,"—",10^((LOG10(D11)-$B$4)/$B$5))</f>
        <v>109.86559869185916</v>
      </c>
      <c r="F11" s="7" t="str">
        <f t="shared" ref="F11:F39" si="2">IF(OR(B11&lt;=$B$7,D11&lt;=$B$7),"below floor","")</f>
        <v/>
      </c>
    </row>
    <row r="12" spans="1:6" x14ac:dyDescent="0.2">
      <c r="A12" s="5">
        <v>2</v>
      </c>
      <c r="B12" s="5">
        <v>1.458</v>
      </c>
      <c r="C12" s="6">
        <f t="shared" si="0"/>
        <v>100.60029781821549</v>
      </c>
      <c r="D12" s="5">
        <v>1.34</v>
      </c>
      <c r="E12" s="6">
        <f t="shared" si="1"/>
        <v>77.89329959418113</v>
      </c>
      <c r="F12" s="7" t="str">
        <f t="shared" si="2"/>
        <v/>
      </c>
    </row>
    <row r="13" spans="1:6" x14ac:dyDescent="0.2">
      <c r="A13" s="5">
        <v>3</v>
      </c>
      <c r="B13" s="5">
        <v>1.5209999999999999</v>
      </c>
      <c r="C13" s="6">
        <f t="shared" si="0"/>
        <v>114.36318499027291</v>
      </c>
      <c r="D13" s="5">
        <v>1.25</v>
      </c>
      <c r="E13" s="6">
        <f t="shared" si="1"/>
        <v>63.092217294294301</v>
      </c>
      <c r="F13" s="7" t="str">
        <f t="shared" si="2"/>
        <v/>
      </c>
    </row>
    <row r="14" spans="1:6" x14ac:dyDescent="0.2">
      <c r="A14" s="5">
        <v>4</v>
      </c>
      <c r="B14" s="5">
        <v>1.272</v>
      </c>
      <c r="C14" s="6">
        <f t="shared" si="0"/>
        <v>66.518578244257085</v>
      </c>
      <c r="D14" s="5">
        <v>1.3360000000000001</v>
      </c>
      <c r="E14" s="6">
        <f t="shared" si="1"/>
        <v>77.190643868038848</v>
      </c>
      <c r="F14" s="7" t="str">
        <f t="shared" si="2"/>
        <v/>
      </c>
    </row>
    <row r="15" spans="1:6" x14ac:dyDescent="0.2">
      <c r="A15" s="5">
        <v>5</v>
      </c>
      <c r="B15" s="5">
        <v>1.375</v>
      </c>
      <c r="C15" s="6">
        <f t="shared" si="0"/>
        <v>84.225265336512464</v>
      </c>
      <c r="D15" s="5">
        <v>1.1870000000000001</v>
      </c>
      <c r="E15" s="6">
        <f t="shared" si="1"/>
        <v>53.938486624488029</v>
      </c>
      <c r="F15" s="7" t="str">
        <f t="shared" si="2"/>
        <v/>
      </c>
    </row>
    <row r="16" spans="1:6" x14ac:dyDescent="0.2">
      <c r="A16" s="5">
        <v>6</v>
      </c>
      <c r="B16" s="5">
        <v>1.448</v>
      </c>
      <c r="C16" s="6">
        <f t="shared" si="0"/>
        <v>98.523387252469689</v>
      </c>
      <c r="D16" s="5">
        <v>1.2869999999999999</v>
      </c>
      <c r="E16" s="6">
        <f t="shared" si="1"/>
        <v>68.924838912044109</v>
      </c>
      <c r="F16" s="7" t="str">
        <f t="shared" si="2"/>
        <v/>
      </c>
    </row>
    <row r="17" spans="1:12" x14ac:dyDescent="0.2">
      <c r="A17" s="5">
        <v>7</v>
      </c>
      <c r="B17" s="5">
        <v>1.4339999999999999</v>
      </c>
      <c r="C17" s="6">
        <f t="shared" si="0"/>
        <v>95.664268271044051</v>
      </c>
      <c r="D17" s="5">
        <v>1.0309999999999999</v>
      </c>
      <c r="E17" s="6">
        <f t="shared" si="1"/>
        <v>35.189873503637621</v>
      </c>
      <c r="F17" s="7" t="str">
        <f t="shared" si="2"/>
        <v/>
      </c>
    </row>
    <row r="18" spans="1:12" x14ac:dyDescent="0.2">
      <c r="A18" s="5">
        <v>8</v>
      </c>
      <c r="B18" s="5">
        <v>1.5960000000000001</v>
      </c>
      <c r="C18" s="6">
        <f t="shared" si="0"/>
        <v>132.32685349924662</v>
      </c>
      <c r="D18" s="5">
        <v>1.028</v>
      </c>
      <c r="E18" s="6">
        <f t="shared" si="1"/>
        <v>34.880416137558633</v>
      </c>
      <c r="F18" s="7" t="str">
        <f t="shared" si="2"/>
        <v/>
      </c>
    </row>
    <row r="19" spans="1:12" x14ac:dyDescent="0.2">
      <c r="A19" s="5">
        <v>9</v>
      </c>
      <c r="B19" s="5">
        <v>1.4930000000000001</v>
      </c>
      <c r="C19" s="6">
        <f t="shared" si="0"/>
        <v>108.10028144503514</v>
      </c>
      <c r="D19" s="5">
        <v>1.048</v>
      </c>
      <c r="E19" s="6">
        <f t="shared" si="1"/>
        <v>36.978276043517162</v>
      </c>
      <c r="F19" s="7" t="str">
        <f t="shared" si="2"/>
        <v/>
      </c>
    </row>
    <row r="20" spans="1:12" x14ac:dyDescent="0.2">
      <c r="A20" s="5">
        <v>10</v>
      </c>
      <c r="B20" s="5">
        <v>1.5309999999999999</v>
      </c>
      <c r="C20" s="6">
        <f t="shared" si="0"/>
        <v>116.65752714385091</v>
      </c>
      <c r="D20" s="5">
        <v>1.0229999999999999</v>
      </c>
      <c r="E20" s="6">
        <f t="shared" si="1"/>
        <v>34.368715273379721</v>
      </c>
      <c r="F20" s="7" t="str">
        <f t="shared" si="2"/>
        <v/>
      </c>
    </row>
    <row r="21" spans="1:12" x14ac:dyDescent="0.2">
      <c r="A21" s="5">
        <v>11</v>
      </c>
      <c r="B21" s="5">
        <v>1.524</v>
      </c>
      <c r="C21" s="6">
        <f t="shared" si="0"/>
        <v>115.04828259739085</v>
      </c>
      <c r="D21" s="5">
        <v>1.3129999999999999</v>
      </c>
      <c r="E21" s="6">
        <f t="shared" si="1"/>
        <v>73.232640838650326</v>
      </c>
      <c r="F21" s="7" t="str">
        <f t="shared" si="2"/>
        <v/>
      </c>
    </row>
    <row r="22" spans="1:12" x14ac:dyDescent="0.2">
      <c r="A22" s="5">
        <v>12</v>
      </c>
      <c r="B22" s="5">
        <v>1.3819999999999999</v>
      </c>
      <c r="C22" s="6">
        <f t="shared" si="0"/>
        <v>85.531694122545048</v>
      </c>
      <c r="D22" s="5">
        <v>1.37</v>
      </c>
      <c r="E22" s="6">
        <f t="shared" si="1"/>
        <v>83.300334148286296</v>
      </c>
      <c r="F22" s="7" t="str">
        <f t="shared" si="2"/>
        <v/>
      </c>
    </row>
    <row r="23" spans="1:12" x14ac:dyDescent="0.2">
      <c r="A23" s="5">
        <v>13</v>
      </c>
      <c r="B23" s="5">
        <v>1.502</v>
      </c>
      <c r="C23" s="6">
        <f t="shared" si="0"/>
        <v>110.08761218129031</v>
      </c>
      <c r="D23" s="5">
        <v>1.5669999999999999</v>
      </c>
      <c r="E23" s="6">
        <f t="shared" si="1"/>
        <v>125.17234852382811</v>
      </c>
      <c r="F23" s="7" t="str">
        <f t="shared" si="2"/>
        <v/>
      </c>
    </row>
    <row r="24" spans="1:12" x14ac:dyDescent="0.2">
      <c r="A24" s="5">
        <v>14</v>
      </c>
      <c r="B24" s="5">
        <v>1.4379999999999999</v>
      </c>
      <c r="C24" s="6">
        <f t="shared" si="0"/>
        <v>96.475406420928365</v>
      </c>
      <c r="D24" s="5">
        <v>1.3009999999999999</v>
      </c>
      <c r="E24" s="6">
        <f t="shared" si="1"/>
        <v>71.22267474140564</v>
      </c>
      <c r="F24" s="7" t="str">
        <f t="shared" si="2"/>
        <v/>
      </c>
      <c r="K24" s="4" t="s">
        <v>22</v>
      </c>
      <c r="L24" s="4" t="s">
        <v>23</v>
      </c>
    </row>
    <row r="25" spans="1:12" x14ac:dyDescent="0.2">
      <c r="A25" s="5">
        <v>15</v>
      </c>
      <c r="B25" s="5">
        <v>1.504</v>
      </c>
      <c r="C25" s="6">
        <f t="shared" si="0"/>
        <v>110.53254065114255</v>
      </c>
      <c r="D25" s="5">
        <v>1.38</v>
      </c>
      <c r="E25" s="6">
        <f t="shared" si="1"/>
        <v>85.15705328859498</v>
      </c>
      <c r="F25" s="7" t="str">
        <f t="shared" si="2"/>
        <v/>
      </c>
      <c r="K25" s="10">
        <v>93.567104509546937</v>
      </c>
      <c r="L25" s="10">
        <v>64.142592349473645</v>
      </c>
    </row>
    <row r="26" spans="1:12" x14ac:dyDescent="0.2">
      <c r="A26" s="5">
        <v>16</v>
      </c>
      <c r="B26" s="5">
        <v>1.512</v>
      </c>
      <c r="C26" s="6">
        <f t="shared" si="0"/>
        <v>112.32430466145429</v>
      </c>
      <c r="D26" s="5">
        <v>1.488</v>
      </c>
      <c r="E26" s="6">
        <f t="shared" si="1"/>
        <v>107.00666846496877</v>
      </c>
      <c r="F26" s="7" t="str">
        <f t="shared" si="2"/>
        <v/>
      </c>
      <c r="K26">
        <v>5.4272439246769686</v>
      </c>
      <c r="L26">
        <v>6.3352802260947323</v>
      </c>
    </row>
    <row r="27" spans="1:12" x14ac:dyDescent="0.2">
      <c r="A27" s="5">
        <v>17</v>
      </c>
      <c r="B27" s="5">
        <v>1.3120000000000001</v>
      </c>
      <c r="C27" s="6">
        <f t="shared" si="0"/>
        <v>73.063710157064193</v>
      </c>
      <c r="D27" s="5">
        <v>1.4350000000000001</v>
      </c>
      <c r="E27" s="6">
        <f t="shared" si="1"/>
        <v>95.866622673240528</v>
      </c>
      <c r="F27" s="7" t="str">
        <f t="shared" si="2"/>
        <v/>
      </c>
    </row>
    <row r="28" spans="1:12" x14ac:dyDescent="0.2">
      <c r="A28" s="5">
        <v>18</v>
      </c>
      <c r="B28" s="5">
        <v>1.276</v>
      </c>
      <c r="C28" s="6">
        <f t="shared" si="0"/>
        <v>67.154650723722753</v>
      </c>
      <c r="D28" s="5">
        <v>1.2709999999999999</v>
      </c>
      <c r="E28" s="6">
        <f t="shared" si="1"/>
        <v>66.36019341470093</v>
      </c>
      <c r="F28" s="7" t="str">
        <f t="shared" si="2"/>
        <v/>
      </c>
    </row>
    <row r="29" spans="1:12" x14ac:dyDescent="0.2">
      <c r="A29" s="5">
        <v>19</v>
      </c>
      <c r="B29" s="5">
        <v>1.2869999999999999</v>
      </c>
      <c r="C29" s="6">
        <f t="shared" si="0"/>
        <v>68.924838912044109</v>
      </c>
      <c r="D29" s="5">
        <v>1.331</v>
      </c>
      <c r="E29" s="6">
        <f t="shared" si="1"/>
        <v>76.318313353764523</v>
      </c>
      <c r="F29" s="7" t="str">
        <f t="shared" si="2"/>
        <v/>
      </c>
    </row>
    <row r="30" spans="1:12" x14ac:dyDescent="0.2">
      <c r="A30" s="5">
        <v>20</v>
      </c>
      <c r="B30" s="5">
        <v>1.1779999999999999</v>
      </c>
      <c r="C30" s="6">
        <f t="shared" si="0"/>
        <v>52.708368624467958</v>
      </c>
      <c r="D30" s="5">
        <v>1.1240000000000001</v>
      </c>
      <c r="E30" s="6">
        <f t="shared" si="1"/>
        <v>45.720213039235816</v>
      </c>
      <c r="F30" s="7" t="str">
        <f t="shared" si="2"/>
        <v/>
      </c>
    </row>
    <row r="31" spans="1:12" x14ac:dyDescent="0.2">
      <c r="A31" s="5">
        <v>21</v>
      </c>
      <c r="B31" s="5">
        <v>1.4410000000000001</v>
      </c>
      <c r="C31" s="6">
        <f t="shared" si="0"/>
        <v>97.086775305454978</v>
      </c>
      <c r="D31" s="5">
        <v>1.08</v>
      </c>
      <c r="E31" s="6">
        <f t="shared" si="1"/>
        <v>40.507991441310317</v>
      </c>
      <c r="F31" s="7" t="str">
        <f t="shared" si="2"/>
        <v/>
      </c>
    </row>
    <row r="32" spans="1:12" x14ac:dyDescent="0.2">
      <c r="A32" s="5">
        <v>22</v>
      </c>
      <c r="B32" s="5">
        <v>1.4630000000000001</v>
      </c>
      <c r="C32" s="6">
        <f t="shared" si="0"/>
        <v>101.64966613483701</v>
      </c>
      <c r="D32" s="5">
        <v>1.2330000000000001</v>
      </c>
      <c r="E32" s="6">
        <f t="shared" si="1"/>
        <v>60.527098395269164</v>
      </c>
      <c r="F32" s="7" t="str">
        <f t="shared" si="2"/>
        <v/>
      </c>
    </row>
    <row r="33" spans="1:6" x14ac:dyDescent="0.2">
      <c r="A33" s="5">
        <v>23</v>
      </c>
      <c r="B33" s="5">
        <v>1.5229999999999999</v>
      </c>
      <c r="C33" s="6">
        <f t="shared" si="0"/>
        <v>114.81961203679121</v>
      </c>
      <c r="D33" s="5">
        <v>1.3129999999999999</v>
      </c>
      <c r="E33" s="6">
        <f t="shared" si="1"/>
        <v>73.232640838650326</v>
      </c>
      <c r="F33" s="7" t="str">
        <f t="shared" si="2"/>
        <v/>
      </c>
    </row>
    <row r="34" spans="1:6" x14ac:dyDescent="0.2">
      <c r="A34" s="5">
        <v>24</v>
      </c>
      <c r="B34" s="5">
        <v>1.1970000000000001</v>
      </c>
      <c r="C34" s="6">
        <f t="shared" si="0"/>
        <v>55.327681354000561</v>
      </c>
      <c r="D34" s="5">
        <v>1.1459999999999999</v>
      </c>
      <c r="E34" s="6">
        <f t="shared" si="1"/>
        <v>48.486989926894481</v>
      </c>
      <c r="F34" s="7" t="str">
        <f t="shared" si="2"/>
        <v/>
      </c>
    </row>
    <row r="35" spans="1:6" x14ac:dyDescent="0.2">
      <c r="A35" s="5">
        <v>25</v>
      </c>
      <c r="B35" s="5">
        <v>1.232</v>
      </c>
      <c r="C35" s="6">
        <f t="shared" si="0"/>
        <v>60.378424903099145</v>
      </c>
      <c r="D35" s="5">
        <v>1.0569999999999999</v>
      </c>
      <c r="E35" s="6">
        <f t="shared" si="1"/>
        <v>37.94926602484616</v>
      </c>
      <c r="F35" s="7" t="str">
        <f t="shared" si="2"/>
        <v/>
      </c>
    </row>
    <row r="36" spans="1:6" x14ac:dyDescent="0.2">
      <c r="A36" s="5">
        <v>26</v>
      </c>
      <c r="B36" s="5">
        <v>1.476</v>
      </c>
      <c r="C36" s="6">
        <f t="shared" si="0"/>
        <v>104.41229745046066</v>
      </c>
      <c r="D36" s="5">
        <v>0.97799999999999998</v>
      </c>
      <c r="E36" s="6">
        <f t="shared" si="1"/>
        <v>29.987812540723084</v>
      </c>
      <c r="F36" s="7" t="str">
        <f t="shared" si="2"/>
        <v/>
      </c>
    </row>
    <row r="37" spans="1:6" x14ac:dyDescent="0.2">
      <c r="A37" s="5">
        <v>27</v>
      </c>
      <c r="B37" s="5">
        <v>1.4870000000000001</v>
      </c>
      <c r="C37" s="6">
        <f t="shared" si="0"/>
        <v>106.78883931741707</v>
      </c>
      <c r="D37" s="5">
        <v>1.35</v>
      </c>
      <c r="E37" s="6">
        <f t="shared" si="1"/>
        <v>79.668662909688521</v>
      </c>
      <c r="F37" s="7" t="str">
        <f t="shared" si="2"/>
        <v/>
      </c>
    </row>
    <row r="38" spans="1:6" x14ac:dyDescent="0.2">
      <c r="A38" s="5">
        <v>28</v>
      </c>
      <c r="B38" s="5">
        <v>1.5009999999999999</v>
      </c>
      <c r="C38" s="6">
        <f t="shared" si="0"/>
        <v>109.86559869185916</v>
      </c>
      <c r="D38" s="5">
        <v>1.2929999999999999</v>
      </c>
      <c r="E38" s="6">
        <f t="shared" si="1"/>
        <v>69.903444310821357</v>
      </c>
      <c r="F38" s="7" t="str">
        <f t="shared" si="2"/>
        <v/>
      </c>
    </row>
    <row r="39" spans="1:6" x14ac:dyDescent="0.2">
      <c r="A39" s="5">
        <v>29</v>
      </c>
      <c r="B39" s="5">
        <v>1.49</v>
      </c>
      <c r="C39" s="6">
        <f t="shared" si="0"/>
        <v>107.44321958995894</v>
      </c>
      <c r="D39" s="5">
        <v>1.387</v>
      </c>
      <c r="E39" s="6">
        <f t="shared" si="1"/>
        <v>86.473124739688217</v>
      </c>
      <c r="F39" s="7" t="str">
        <f t="shared" si="2"/>
        <v/>
      </c>
    </row>
    <row r="40" spans="1:6" x14ac:dyDescent="0.2">
      <c r="A40" s="8" t="s">
        <v>13</v>
      </c>
      <c r="B40" s="9">
        <f>MEDIAN(B11:B39)</f>
        <v>1.458</v>
      </c>
      <c r="C40" s="10">
        <f>10^((LOG10(B40)-$B$4)/$B$5)</f>
        <v>100.60029781821549</v>
      </c>
      <c r="D40" s="9">
        <f>MEDIAN(D11:D39)</f>
        <v>1.2929999999999999</v>
      </c>
      <c r="E40" s="10">
        <f>10^((LOG10(D40)-$B$4)/$B$5)</f>
        <v>69.903444310821357</v>
      </c>
    </row>
    <row r="41" spans="1:6" x14ac:dyDescent="0.2">
      <c r="A41" s="8" t="s">
        <v>14</v>
      </c>
      <c r="B41" s="9">
        <f>AVERAGE(B11:B39)</f>
        <v>1.4235517241379314</v>
      </c>
      <c r="C41" s="10">
        <f>10^((LOG10(B41)-$B$4)/$B$5)</f>
        <v>93.567104509546937</v>
      </c>
      <c r="D41" s="9">
        <f>AVERAGE(D11:D39)</f>
        <v>1.2568275862068963</v>
      </c>
      <c r="E41" s="10">
        <f>10^((LOG10(D41)-$B$4)/$B$5)</f>
        <v>64.142592349473645</v>
      </c>
    </row>
    <row r="42" spans="1:6" x14ac:dyDescent="0.2">
      <c r="A42" t="s">
        <v>21</v>
      </c>
      <c r="B42" cm="1">
        <f t="array" ref="B42:B62" xml:space="preserve"> STDEV(B19:B39)/SQRT(LEN(B19:B39))</f>
        <v>5.2720864217210277E-2</v>
      </c>
      <c r="C42" cm="1">
        <f t="array" ref="C42:C62" xml:space="preserve"> STDEV(C19:C39)/SQRT(LEN(C19:C39))</f>
        <v>5.4272439246769686</v>
      </c>
      <c r="D42" cm="1">
        <f t="array" ref="D42:D62" xml:space="preserve"> STDEV(D19:D39)/SQRT(LEN(D19:D39))</f>
        <v>7.263378460927615E-2</v>
      </c>
      <c r="E42" cm="1">
        <f t="array" ref="E42:E62" xml:space="preserve"> STDEV(E19:E39)/SQRT(LEN(E19:E39))</f>
        <v>6.3352802260947323</v>
      </c>
    </row>
    <row r="43" spans="1:6" x14ac:dyDescent="0.2">
      <c r="B43">
        <v>5.2720864217210277E-2</v>
      </c>
      <c r="C43">
        <v>5.4272439246769686</v>
      </c>
      <c r="D43">
        <v>7.263378460927615E-2</v>
      </c>
      <c r="E43">
        <v>6.3352802260947323</v>
      </c>
    </row>
    <row r="44" spans="1:6" x14ac:dyDescent="0.2">
      <c r="B44">
        <v>5.2720864217210277E-2</v>
      </c>
      <c r="C44">
        <v>5.4272439246769686</v>
      </c>
      <c r="D44">
        <v>7.263378460927615E-2</v>
      </c>
      <c r="E44">
        <v>6.3352802260947323</v>
      </c>
    </row>
    <row r="45" spans="1:6" x14ac:dyDescent="0.2">
      <c r="B45">
        <v>5.2720864217210277E-2</v>
      </c>
      <c r="C45">
        <v>5.6052334229544742</v>
      </c>
      <c r="D45">
        <v>8.1207039924709748E-2</v>
      </c>
      <c r="E45">
        <v>6.3352802260947323</v>
      </c>
    </row>
    <row r="46" spans="1:6" x14ac:dyDescent="0.2">
      <c r="B46">
        <v>5.2720864217210277E-2</v>
      </c>
      <c r="C46">
        <v>5.6052334229544742</v>
      </c>
      <c r="D46">
        <v>7.263378460927615E-2</v>
      </c>
      <c r="E46">
        <v>6.3352802260947323</v>
      </c>
    </row>
    <row r="47" spans="1:6" x14ac:dyDescent="0.2">
      <c r="B47">
        <v>5.2720864217210277E-2</v>
      </c>
      <c r="C47">
        <v>5.4272439246769686</v>
      </c>
      <c r="D47">
        <v>7.263378460927615E-2</v>
      </c>
      <c r="E47">
        <v>6.3352802260947323</v>
      </c>
    </row>
    <row r="48" spans="1:6" x14ac:dyDescent="0.2">
      <c r="B48">
        <v>5.2720864217210277E-2</v>
      </c>
      <c r="C48">
        <v>5.4272439246769686</v>
      </c>
      <c r="D48">
        <v>8.1207039924709748E-2</v>
      </c>
      <c r="E48">
        <v>6.543049282459215</v>
      </c>
    </row>
    <row r="49" spans="2:5" x14ac:dyDescent="0.2">
      <c r="B49">
        <v>5.2720864217210277E-2</v>
      </c>
      <c r="C49">
        <v>5.4272439246769686</v>
      </c>
      <c r="D49">
        <v>7.263378460927615E-2</v>
      </c>
      <c r="E49">
        <v>6.3352802260947323</v>
      </c>
    </row>
    <row r="50" spans="2:5" x14ac:dyDescent="0.2">
      <c r="B50">
        <v>5.2720864217210277E-2</v>
      </c>
      <c r="C50">
        <v>5.4272439246769686</v>
      </c>
      <c r="D50">
        <v>7.263378460927615E-2</v>
      </c>
      <c r="E50">
        <v>6.3352802260947323</v>
      </c>
    </row>
    <row r="51" spans="2:5" x14ac:dyDescent="0.2">
      <c r="B51">
        <v>5.2720864217210277E-2</v>
      </c>
      <c r="C51">
        <v>5.4272439246769686</v>
      </c>
      <c r="D51">
        <v>7.263378460927615E-2</v>
      </c>
      <c r="E51">
        <v>6.3352802260947323</v>
      </c>
    </row>
    <row r="52" spans="2:5" x14ac:dyDescent="0.2">
      <c r="B52">
        <v>5.2720864217210277E-2</v>
      </c>
      <c r="C52">
        <v>5.4272439246769686</v>
      </c>
      <c r="D52">
        <v>7.263378460927615E-2</v>
      </c>
      <c r="E52">
        <v>6.3352802260947323</v>
      </c>
    </row>
    <row r="53" spans="2:5" x14ac:dyDescent="0.2">
      <c r="B53">
        <v>5.2720864217210277E-2</v>
      </c>
      <c r="C53">
        <v>5.6052334229544742</v>
      </c>
      <c r="D53">
        <v>7.263378460927615E-2</v>
      </c>
      <c r="E53">
        <v>6.3352802260947323</v>
      </c>
    </row>
    <row r="54" spans="2:5" x14ac:dyDescent="0.2">
      <c r="B54">
        <v>5.2720864217210277E-2</v>
      </c>
      <c r="C54">
        <v>5.6052334229544742</v>
      </c>
      <c r="D54">
        <v>8.1207039924709748E-2</v>
      </c>
      <c r="E54">
        <v>6.3352802260947323</v>
      </c>
    </row>
    <row r="55" spans="2:5" x14ac:dyDescent="0.2">
      <c r="B55">
        <v>5.2720864217210277E-2</v>
      </c>
      <c r="C55">
        <v>5.4272439246769686</v>
      </c>
      <c r="D55">
        <v>7.263378460927615E-2</v>
      </c>
      <c r="E55">
        <v>6.3352802260947323</v>
      </c>
    </row>
    <row r="56" spans="2:5" x14ac:dyDescent="0.2">
      <c r="B56">
        <v>5.2720864217210277E-2</v>
      </c>
      <c r="C56">
        <v>5.4272439246769686</v>
      </c>
      <c r="D56">
        <v>7.263378460927615E-2</v>
      </c>
      <c r="E56">
        <v>6.3352802260947323</v>
      </c>
    </row>
    <row r="57" spans="2:5" x14ac:dyDescent="0.2">
      <c r="B57">
        <v>5.2720864217210277E-2</v>
      </c>
      <c r="C57">
        <v>5.4272439246769686</v>
      </c>
      <c r="D57">
        <v>7.263378460927615E-2</v>
      </c>
      <c r="E57">
        <v>6.3352802260947323</v>
      </c>
    </row>
    <row r="58" spans="2:5" x14ac:dyDescent="0.2">
      <c r="B58">
        <v>5.2720864217210277E-2</v>
      </c>
      <c r="C58">
        <v>5.4272439246769686</v>
      </c>
      <c r="D58">
        <v>7.263378460927615E-2</v>
      </c>
      <c r="E58">
        <v>6.3352802260947323</v>
      </c>
    </row>
    <row r="59" spans="2:5" x14ac:dyDescent="0.2">
      <c r="B59">
        <v>5.2720864217210277E-2</v>
      </c>
      <c r="C59">
        <v>5.4272439246769686</v>
      </c>
      <c r="D59">
        <v>7.263378460927615E-2</v>
      </c>
      <c r="E59">
        <v>6.3352802260947323</v>
      </c>
    </row>
    <row r="60" spans="2:5" x14ac:dyDescent="0.2">
      <c r="B60">
        <v>5.2720864217210277E-2</v>
      </c>
      <c r="C60">
        <v>5.4272439246769686</v>
      </c>
      <c r="D60">
        <v>8.1207039924709748E-2</v>
      </c>
      <c r="E60">
        <v>6.3352802260947323</v>
      </c>
    </row>
    <row r="61" spans="2:5" x14ac:dyDescent="0.2">
      <c r="B61">
        <v>5.2720864217210277E-2</v>
      </c>
      <c r="C61">
        <v>5.4272439246769686</v>
      </c>
      <c r="D61">
        <v>7.263378460927615E-2</v>
      </c>
      <c r="E61">
        <v>6.3352802260947323</v>
      </c>
    </row>
    <row r="62" spans="2:5" x14ac:dyDescent="0.2">
      <c r="B62">
        <v>5.8943718111109211E-2</v>
      </c>
      <c r="C62">
        <v>5.4272439246769686</v>
      </c>
      <c r="D62">
        <v>7.263378460927615E-2</v>
      </c>
      <c r="E62">
        <v>6.3352802260947323</v>
      </c>
    </row>
  </sheetData>
  <mergeCells count="3">
    <mergeCell ref="A1:F1"/>
    <mergeCell ref="A3:F3"/>
    <mergeCell ref="A8:F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DDC2-58D8-4611-9C7E-9EC214551E8F}">
  <dimension ref="A2:Y52"/>
  <sheetViews>
    <sheetView tabSelected="1" zoomScale="36" zoomScaleNormal="100" workbookViewId="0">
      <selection activeCell="S88" sqref="S88"/>
    </sheetView>
  </sheetViews>
  <sheetFormatPr baseColWidth="10" defaultColWidth="8.83203125" defaultRowHeight="15" x14ac:dyDescent="0.2"/>
  <sheetData>
    <row r="2" spans="1:16" x14ac:dyDescent="0.2">
      <c r="A2" t="s">
        <v>15</v>
      </c>
      <c r="B2" t="s">
        <v>16</v>
      </c>
      <c r="D2" t="s">
        <v>18</v>
      </c>
      <c r="E2" t="s">
        <v>17</v>
      </c>
    </row>
    <row r="3" spans="1:16" x14ac:dyDescent="0.2">
      <c r="A3">
        <v>1</v>
      </c>
      <c r="B3">
        <v>0.8</v>
      </c>
      <c r="D3">
        <v>20</v>
      </c>
      <c r="E3">
        <v>0.75</v>
      </c>
    </row>
    <row r="4" spans="1:16" x14ac:dyDescent="0.2">
      <c r="A4">
        <v>1.3</v>
      </c>
      <c r="B4">
        <v>0.78</v>
      </c>
      <c r="D4">
        <v>35</v>
      </c>
      <c r="E4">
        <v>0.9</v>
      </c>
    </row>
    <row r="5" spans="1:16" x14ac:dyDescent="0.2">
      <c r="A5">
        <v>1.8</v>
      </c>
      <c r="B5">
        <v>0.84</v>
      </c>
      <c r="D5">
        <v>85</v>
      </c>
      <c r="E5">
        <v>1.4</v>
      </c>
    </row>
    <row r="6" spans="1:16" x14ac:dyDescent="0.2">
      <c r="A6">
        <v>2.8</v>
      </c>
      <c r="B6">
        <v>0.83</v>
      </c>
      <c r="D6">
        <v>150</v>
      </c>
      <c r="E6">
        <v>1.8</v>
      </c>
    </row>
    <row r="7" spans="1:16" x14ac:dyDescent="0.2">
      <c r="A7">
        <v>4.5</v>
      </c>
      <c r="B7">
        <v>0.89</v>
      </c>
      <c r="D7">
        <v>250</v>
      </c>
      <c r="E7">
        <v>2.1</v>
      </c>
    </row>
    <row r="8" spans="1:16" x14ac:dyDescent="0.2">
      <c r="A8">
        <v>7.5</v>
      </c>
      <c r="B8">
        <v>0.84</v>
      </c>
      <c r="D8">
        <v>400</v>
      </c>
      <c r="E8">
        <v>2.2999999999999998</v>
      </c>
      <c r="P8" t="s">
        <v>20</v>
      </c>
    </row>
    <row r="9" spans="1:16" x14ac:dyDescent="0.2">
      <c r="A9">
        <v>14</v>
      </c>
      <c r="B9">
        <v>0.9</v>
      </c>
      <c r="D9">
        <v>550</v>
      </c>
      <c r="E9">
        <v>2.5</v>
      </c>
    </row>
    <row r="10" spans="1:16" x14ac:dyDescent="0.2">
      <c r="A10">
        <v>32</v>
      </c>
      <c r="B10">
        <v>1.1000000000000001</v>
      </c>
      <c r="D10">
        <v>700</v>
      </c>
      <c r="E10">
        <v>2.7</v>
      </c>
    </row>
    <row r="11" spans="1:16" x14ac:dyDescent="0.2">
      <c r="A11">
        <v>85</v>
      </c>
      <c r="B11">
        <v>1.48</v>
      </c>
      <c r="D11">
        <v>950</v>
      </c>
      <c r="E11">
        <v>2.95</v>
      </c>
    </row>
    <row r="12" spans="1:16" x14ac:dyDescent="0.2">
      <c r="A12">
        <v>220</v>
      </c>
      <c r="B12">
        <v>2.13</v>
      </c>
      <c r="D12">
        <v>1211</v>
      </c>
      <c r="E12">
        <v>3.1256900000000001</v>
      </c>
    </row>
    <row r="13" spans="1:16" x14ac:dyDescent="0.2">
      <c r="A13">
        <v>620</v>
      </c>
      <c r="B13">
        <v>2.65</v>
      </c>
    </row>
    <row r="14" spans="1:16" x14ac:dyDescent="0.2">
      <c r="A14">
        <v>1410</v>
      </c>
      <c r="B14">
        <v>3.35</v>
      </c>
    </row>
    <row r="17" spans="1:1" s="11" customFormat="1" x14ac:dyDescent="0.2">
      <c r="A17" s="11" t="s">
        <v>19</v>
      </c>
    </row>
    <row r="47" spans="25:25" x14ac:dyDescent="0.2">
      <c r="Y47" t="s">
        <v>24</v>
      </c>
    </row>
    <row r="52" spans="20:20" x14ac:dyDescent="0.2">
      <c r="T52">
        <f xml:space="preserve"> AVERAGE(0.66,0.28)</f>
        <v>0.47000000000000003</v>
      </c>
    </row>
  </sheetData>
  <mergeCells count="1">
    <mergeCell ref="A17:XF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SetA_Lifetime_to_Viscosity</vt:lpstr>
      <vt:lpstr>data for calibration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Gemechu Mekonnen</cp:lastModifiedBy>
  <cp:revision>0</cp:revision>
  <dcterms:created xsi:type="dcterms:W3CDTF">2026-07-07T21:43:23Z</dcterms:created>
  <dcterms:modified xsi:type="dcterms:W3CDTF">2026-08-25T01:32:27Z</dcterms:modified>
  <dc:language>en-US</dc:language>
</cp:coreProperties>
</file>