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mechu/Desktop/Research/Kevin Lab Files/DDX6 Data/Panel2_Data/"/>
    </mc:Choice>
  </mc:AlternateContent>
  <xr:revisionPtr revIDLastSave="0" documentId="13_ncr:1_{F9E409C1-7768-8845-97E0-BF0DA345D412}" xr6:coauthVersionLast="47" xr6:coauthVersionMax="47" xr10:uidLastSave="{00000000-0000-0000-0000-000000000000}"/>
  <bookViews>
    <workbookView xWindow="2040" yWindow="1520" windowWidth="25400" windowHeight="12360" activeTab="2" xr2:uid="{A84E9CDA-57DD-4C55-A630-5AF21A57ADB9}"/>
  </bookViews>
  <sheets>
    <sheet name="shRNA Data" sheetId="1" r:id="rId1"/>
    <sheet name="Graph Export" sheetId="3" r:id="rId2"/>
    <sheet name="Im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0" i="2" l="1"/>
  <c r="B39" i="2"/>
  <c r="B26" i="2"/>
  <c r="B13" i="2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F12" i="1"/>
  <c r="E12" i="1"/>
  <c r="D12" i="1"/>
  <c r="C12" i="1"/>
  <c r="H7" i="1"/>
  <c r="I7" i="1"/>
  <c r="K7" i="1"/>
  <c r="L7" i="1"/>
  <c r="M7" i="1" s="1"/>
  <c r="O7" i="1"/>
  <c r="P7" i="1" s="1"/>
  <c r="Q7" i="1" s="1"/>
  <c r="G7" i="1"/>
  <c r="F7" i="1"/>
  <c r="E7" i="1"/>
  <c r="D7" i="1"/>
  <c r="C7" i="1"/>
  <c r="B7" i="1"/>
  <c r="M45" i="2"/>
  <c r="M49" i="2"/>
  <c r="L49" i="2"/>
  <c r="K49" i="2"/>
  <c r="J49" i="2"/>
  <c r="I49" i="2"/>
  <c r="H49" i="2"/>
  <c r="G49" i="2"/>
  <c r="F49" i="2"/>
  <c r="E49" i="2"/>
  <c r="D49" i="2"/>
  <c r="C49" i="2"/>
  <c r="M48" i="2"/>
  <c r="L48" i="2"/>
  <c r="K48" i="2"/>
  <c r="J48" i="2"/>
  <c r="I48" i="2"/>
  <c r="H48" i="2"/>
  <c r="G48" i="2"/>
  <c r="F48" i="2"/>
  <c r="E48" i="2"/>
  <c r="D48" i="2"/>
  <c r="C48" i="2"/>
  <c r="M47" i="2"/>
  <c r="M44" i="2"/>
  <c r="M43" i="2"/>
  <c r="M42" i="2"/>
  <c r="M41" i="2"/>
  <c r="H6" i="1"/>
  <c r="I6" i="1"/>
  <c r="K6" i="1"/>
  <c r="L6" i="1"/>
  <c r="M6" i="1"/>
  <c r="O6" i="1"/>
  <c r="P6" i="1" s="1"/>
  <c r="Q6" i="1" s="1"/>
  <c r="G6" i="1"/>
  <c r="F6" i="1"/>
  <c r="E6" i="1"/>
  <c r="D6" i="1"/>
  <c r="C6" i="1"/>
  <c r="B6" i="1"/>
  <c r="M33" i="2"/>
  <c r="M38" i="2"/>
  <c r="L38" i="2"/>
  <c r="K38" i="2"/>
  <c r="J38" i="2"/>
  <c r="I38" i="2"/>
  <c r="H38" i="2"/>
  <c r="G38" i="2"/>
  <c r="F38" i="2"/>
  <c r="E38" i="2"/>
  <c r="D38" i="2"/>
  <c r="C38" i="2"/>
  <c r="B38" i="2"/>
  <c r="M37" i="2"/>
  <c r="L37" i="2"/>
  <c r="K37" i="2"/>
  <c r="J37" i="2"/>
  <c r="I37" i="2"/>
  <c r="H37" i="2"/>
  <c r="G37" i="2"/>
  <c r="F37" i="2"/>
  <c r="E37" i="2"/>
  <c r="D37" i="2"/>
  <c r="C37" i="2"/>
  <c r="B37" i="2"/>
  <c r="M36" i="2"/>
  <c r="M35" i="2"/>
  <c r="M34" i="2"/>
  <c r="M31" i="2"/>
  <c r="M30" i="2"/>
  <c r="M29" i="2"/>
  <c r="M28" i="2"/>
  <c r="Q2" i="1"/>
  <c r="Q3" i="1"/>
  <c r="Q4" i="1"/>
  <c r="Q5" i="1"/>
  <c r="M2" i="1"/>
  <c r="M3" i="1"/>
  <c r="M4" i="1"/>
  <c r="M5" i="1"/>
  <c r="H5" i="1"/>
  <c r="I5" i="1"/>
  <c r="K5" i="1"/>
  <c r="L5" i="1"/>
  <c r="O5" i="1"/>
  <c r="P5" i="1" s="1"/>
  <c r="G5" i="1"/>
  <c r="F5" i="1"/>
  <c r="E5" i="1"/>
  <c r="D5" i="1"/>
  <c r="C5" i="1"/>
  <c r="B5" i="1"/>
  <c r="M16" i="2"/>
  <c r="M17" i="2"/>
  <c r="M18" i="2"/>
  <c r="M21" i="2"/>
  <c r="M22" i="2"/>
  <c r="M23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15" i="2"/>
  <c r="O4" i="1"/>
  <c r="P4" i="1" s="1"/>
  <c r="K4" i="1"/>
  <c r="L4" i="1" s="1"/>
  <c r="H4" i="1"/>
  <c r="I4" i="1"/>
  <c r="G4" i="1"/>
  <c r="F4" i="1"/>
  <c r="E4" i="1"/>
  <c r="D4" i="1"/>
  <c r="C4" i="1"/>
  <c r="B4" i="1"/>
  <c r="M12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B12" i="2"/>
  <c r="B11" i="2"/>
  <c r="M7" i="2"/>
  <c r="M8" i="2"/>
  <c r="M10" i="2"/>
  <c r="M5" i="2"/>
  <c r="M4" i="2"/>
  <c r="M3" i="2"/>
  <c r="M2" i="2"/>
  <c r="O3" i="1"/>
  <c r="P3" i="1" s="1"/>
  <c r="L3" i="1"/>
  <c r="K3" i="1"/>
  <c r="I3" i="1"/>
  <c r="H3" i="1"/>
  <c r="P2" i="1"/>
  <c r="O2" i="1"/>
  <c r="L2" i="1"/>
  <c r="K2" i="1"/>
  <c r="I2" i="1"/>
  <c r="H2" i="1"/>
  <c r="B48" i="2" l="1"/>
  <c r="B49" i="2"/>
  <c r="M11" i="2"/>
</calcChain>
</file>

<file path=xl/sharedStrings.xml><?xml version="1.0" encoding="utf-8"?>
<sst xmlns="http://schemas.openxmlformats.org/spreadsheetml/2006/main" count="129" uniqueCount="65">
  <si>
    <t>Filename</t>
  </si>
  <si>
    <t>Num_Granules</t>
  </si>
  <si>
    <t>Total_Area</t>
  </si>
  <si>
    <t>Mean_Area</t>
  </si>
  <si>
    <t>Area_STDEV</t>
  </si>
  <si>
    <t>Area_SEM</t>
  </si>
  <si>
    <t>Num_Nuclei</t>
  </si>
  <si>
    <t>Num_GranulesNF</t>
  </si>
  <si>
    <t>TotalAreaNF</t>
  </si>
  <si>
    <t>Mean_AreaNF</t>
  </si>
  <si>
    <t>Area_StDevNF</t>
  </si>
  <si>
    <t>Area_SEMNF</t>
  </si>
  <si>
    <t>002.tif</t>
  </si>
  <si>
    <t>003.tif</t>
  </si>
  <si>
    <t>004.tif</t>
  </si>
  <si>
    <t>shRNA 13.1</t>
  </si>
  <si>
    <t>005.tif</t>
  </si>
  <si>
    <t>006.tif</t>
  </si>
  <si>
    <t>007.tif</t>
  </si>
  <si>
    <t>008.tif</t>
  </si>
  <si>
    <t>shRNA 13.2</t>
  </si>
  <si>
    <t>shRNA 13.3</t>
  </si>
  <si>
    <t>shRNA Treatment</t>
  </si>
  <si>
    <t>Granules Per Cell</t>
  </si>
  <si>
    <t>Stdev Granules Per Cell</t>
  </si>
  <si>
    <t>Granule Area</t>
  </si>
  <si>
    <t>Stdev Granule Area</t>
  </si>
  <si>
    <t>n (Nuclei)</t>
  </si>
  <si>
    <t>n (Granules)</t>
  </si>
  <si>
    <t>Granules per Cells SEM</t>
  </si>
  <si>
    <t>Granule Area SEM</t>
  </si>
  <si>
    <t>s^2/n Granules Per Cell</t>
  </si>
  <si>
    <t>t-test Granules Per Cell</t>
  </si>
  <si>
    <t>p-value</t>
  </si>
  <si>
    <t>s^2/n Granule Area</t>
  </si>
  <si>
    <t>t-test Granule Area</t>
  </si>
  <si>
    <t>NC-1 (unstressed)</t>
  </si>
  <si>
    <t>compared to stressed</t>
  </si>
  <si>
    <t>NC-1</t>
  </si>
  <si>
    <t>compared to NC-1 stressed</t>
  </si>
  <si>
    <t>001.tif</t>
  </si>
  <si>
    <t>009.tif</t>
  </si>
  <si>
    <t>average</t>
  </si>
  <si>
    <t>stdev</t>
  </si>
  <si>
    <t>DDX6 shRNA 13.1</t>
  </si>
  <si>
    <t>DDX6 shRNA 13.2</t>
  </si>
  <si>
    <t>010.tif</t>
  </si>
  <si>
    <t>011.tif</t>
  </si>
  <si>
    <t>012.tif</t>
  </si>
  <si>
    <t>013.tif</t>
  </si>
  <si>
    <t>DDX6 shRNA 13.3</t>
  </si>
  <si>
    <t>014.tif</t>
  </si>
  <si>
    <t>015.tif</t>
  </si>
  <si>
    <t>016.tif</t>
  </si>
  <si>
    <t>017.tif</t>
  </si>
  <si>
    <t>DDX6 oe</t>
  </si>
  <si>
    <t>018.tif</t>
  </si>
  <si>
    <t>019.tif</t>
  </si>
  <si>
    <t>020.tif</t>
  </si>
  <si>
    <t>021.tif</t>
  </si>
  <si>
    <t>022.tif</t>
  </si>
  <si>
    <t>Treatment</t>
  </si>
  <si>
    <t>overexpression</t>
  </si>
  <si>
    <t>SEM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</si>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</sst>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F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Helvetica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'shRNA Data'!$C$11</c:f>
              <c:strCache>
                <c:ptCount val="1"/>
                <c:pt idx="0">
                  <c:v>Granules Per Cell</c:v>
                </c:pt>
              </c:strCache>
            </c:strRef>
          </c:tx>
          <c:spPr>
            <a:solidFill>
              <a:schemeClr val="bg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79-495B-87EE-30C68C955B44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879-495B-87EE-30C68C955B44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79-495B-87EE-30C68C955B44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879-495B-87EE-30C68C955B44}"/>
              </c:ext>
            </c:extLst>
          </c:dPt>
          <c:dPt>
            <c:idx val="4"/>
            <c:invertIfNegative val="0"/>
            <c:bubble3D val="0"/>
            <c:spPr>
              <a:solidFill>
                <a:srgbClr val="00A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79-495B-87EE-30C68C955B44}"/>
              </c:ext>
            </c:extLst>
          </c:dPt>
          <c:errBars>
            <c:errBarType val="plus"/>
            <c:errValType val="cust"/>
            <c:noEndCap val="0"/>
            <c:plus>
              <c:numRef>
                <c:f>'shRNA Data'!$D$12:$D$16</c:f>
                <c:numCache>
                  <c:formatCode>General</c:formatCode>
                  <c:ptCount val="5"/>
                  <c:pt idx="0">
                    <c:v>9.0114442882637202E-2</c:v>
                  </c:pt>
                  <c:pt idx="1">
                    <c:v>5.3597990068762973E-2</c:v>
                  </c:pt>
                  <c:pt idx="2">
                    <c:v>7.7927676772977128E-2</c:v>
                  </c:pt>
                  <c:pt idx="3">
                    <c:v>3.4542642685079124E-2</c:v>
                  </c:pt>
                  <c:pt idx="4">
                    <c:v>0.14486655310505742</c:v>
                  </c:pt>
                </c:numCache>
              </c:numRef>
            </c:plus>
            <c:minus>
              <c:numRef>
                <c:f>'shRNA Data'!$D$12:$D$16</c:f>
                <c:numCache>
                  <c:formatCode>General</c:formatCode>
                  <c:ptCount val="5"/>
                  <c:pt idx="0">
                    <c:v>9.0114442882637202E-2</c:v>
                  </c:pt>
                  <c:pt idx="1">
                    <c:v>5.3597990068762973E-2</c:v>
                  </c:pt>
                  <c:pt idx="2">
                    <c:v>7.7927676772977128E-2</c:v>
                  </c:pt>
                  <c:pt idx="3">
                    <c:v>3.4542642685079124E-2</c:v>
                  </c:pt>
                  <c:pt idx="4">
                    <c:v>0.14486655310505742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'shRNA Data'!$B$12:$B$16</c:f>
              <c:strCache>
                <c:ptCount val="5"/>
                <c:pt idx="0">
                  <c:v>NC-1</c:v>
                </c:pt>
                <c:pt idx="1">
                  <c:v>shRNA 13.1</c:v>
                </c:pt>
                <c:pt idx="2">
                  <c:v>shRNA 13.2</c:v>
                </c:pt>
                <c:pt idx="3">
                  <c:v>shRNA 13.3</c:v>
                </c:pt>
                <c:pt idx="4">
                  <c:v>overexpression</c:v>
                </c:pt>
              </c:strCache>
            </c:strRef>
          </c:cat>
          <c:val>
            <c:numRef>
              <c:f>'shRNA Data'!$C$12:$C$16</c:f>
              <c:numCache>
                <c:formatCode>General</c:formatCode>
                <c:ptCount val="5"/>
                <c:pt idx="0">
                  <c:v>1.7385431697931697</c:v>
                </c:pt>
                <c:pt idx="1">
                  <c:v>1.2333333333333332</c:v>
                </c:pt>
                <c:pt idx="2">
                  <c:v>1.2982374768089053</c:v>
                </c:pt>
                <c:pt idx="3">
                  <c:v>1.2744671812106023</c:v>
                </c:pt>
                <c:pt idx="4">
                  <c:v>1.806878306878307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A-410A-A1EF-B74CFA7C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36372448"/>
        <c:axId val="136369536"/>
      </c:barChart>
      <c:catAx>
        <c:axId val="1363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69536"/>
        <c:crosses val="autoZero"/>
        <c:auto val="1"/>
        <c:lblAlgn val="ctr"/>
        <c:lblOffset val="100"/>
        <c:noMultiLvlLbl val="0"/>
      </c:catAx>
      <c:valAx>
        <c:axId val="136369536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Count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72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Helvetica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'shRNA Data'!$E$11</c:f>
              <c:strCache>
                <c:ptCount val="1"/>
                <c:pt idx="0">
                  <c:v>Granule Area</c:v>
                </c:pt>
              </c:strCache>
            </c:strRef>
          </c:tx>
          <c:spPr>
            <a:solidFill>
              <a:schemeClr val="bg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DD-4537-B3A4-6E09A7FC2EE8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6DD-4537-B3A4-6E09A7FC2EE8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DD-4537-B3A4-6E09A7FC2EE8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6DD-4537-B3A4-6E09A7FC2EE8}"/>
              </c:ext>
            </c:extLst>
          </c:dPt>
          <c:dPt>
            <c:idx val="4"/>
            <c:invertIfNegative val="0"/>
            <c:bubble3D val="0"/>
            <c:spPr>
              <a:solidFill>
                <a:srgbClr val="00A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D-4537-B3A4-6E09A7FC2EE8}"/>
              </c:ext>
            </c:extLst>
          </c:dPt>
          <c:errBars>
            <c:errBarType val="plus"/>
            <c:errValType val="cust"/>
            <c:noEndCap val="0"/>
            <c:plus>
              <c:numRef>
                <c:f>'shRNA Data'!$F$12:$F$16</c:f>
                <c:numCache>
                  <c:formatCode>General</c:formatCode>
                  <c:ptCount val="5"/>
                  <c:pt idx="0">
                    <c:v>2.2243003752977789E-2</c:v>
                  </c:pt>
                  <c:pt idx="1">
                    <c:v>2.5060924893006705E-2</c:v>
                  </c:pt>
                  <c:pt idx="2">
                    <c:v>3.0625716049310275E-2</c:v>
                  </c:pt>
                  <c:pt idx="3">
                    <c:v>3.0068644791582312E-2</c:v>
                  </c:pt>
                  <c:pt idx="4">
                    <c:v>4.4479723032289066E-2</c:v>
                  </c:pt>
                </c:numCache>
              </c:numRef>
            </c:plus>
            <c:minus>
              <c:numRef>
                <c:f>'shRNA Data'!$F$12:$F$16</c:f>
                <c:numCache>
                  <c:formatCode>General</c:formatCode>
                  <c:ptCount val="5"/>
                  <c:pt idx="0">
                    <c:v>2.2243003752977789E-2</c:v>
                  </c:pt>
                  <c:pt idx="1">
                    <c:v>2.5060924893006705E-2</c:v>
                  </c:pt>
                  <c:pt idx="2">
                    <c:v>3.0625716049310275E-2</c:v>
                  </c:pt>
                  <c:pt idx="3">
                    <c:v>3.0068644791582312E-2</c:v>
                  </c:pt>
                  <c:pt idx="4">
                    <c:v>4.4479723032289066E-2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'shRNA Data'!$B$12:$B$16</c:f>
              <c:strCache>
                <c:ptCount val="5"/>
                <c:pt idx="0">
                  <c:v>NC-1</c:v>
                </c:pt>
                <c:pt idx="1">
                  <c:v>shRNA 13.1</c:v>
                </c:pt>
                <c:pt idx="2">
                  <c:v>shRNA 13.2</c:v>
                </c:pt>
                <c:pt idx="3">
                  <c:v>shRNA 13.3</c:v>
                </c:pt>
                <c:pt idx="4">
                  <c:v>overexpression</c:v>
                </c:pt>
              </c:strCache>
            </c:strRef>
          </c:cat>
          <c:val>
            <c:numRef>
              <c:f>'shRNA Data'!$E$12:$E$16</c:f>
              <c:numCache>
                <c:formatCode>General</c:formatCode>
                <c:ptCount val="5"/>
                <c:pt idx="0">
                  <c:v>1.1141794999999999</c:v>
                </c:pt>
                <c:pt idx="1">
                  <c:v>0.97309166666666669</c:v>
                </c:pt>
                <c:pt idx="2">
                  <c:v>1.0479842222222224</c:v>
                </c:pt>
                <c:pt idx="3">
                  <c:v>0.88507888888888897</c:v>
                </c:pt>
                <c:pt idx="4">
                  <c:v>1.4156094285714285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7-4821-8DE9-65D763F04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36372448"/>
        <c:axId val="136369536"/>
      </c:barChart>
      <c:catAx>
        <c:axId val="1363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69536"/>
        <c:crosses val="autoZero"/>
        <c:auto val="1"/>
        <c:lblAlgn val="ctr"/>
        <c:lblOffset val="100"/>
        <c:noMultiLvlLbl val="0"/>
      </c:catAx>
      <c:valAx>
        <c:axId val="136369536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Area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72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'shRNA Data'!$C$11</c:f>
              <c:strCache>
                <c:ptCount val="1"/>
                <c:pt idx="0">
                  <c:v>Granules Per Cell</c:v>
                </c:pt>
              </c:strCache>
            </c:strRef>
          </c:tx>
          <c:spPr>
            <a:solidFill>
              <a:schemeClr val="bg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49-4206-8D06-2C749D8286B7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49-4206-8D06-2C749D8286B7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49-4206-8D06-2C749D8286B7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49-4206-8D06-2C749D8286B7}"/>
              </c:ext>
            </c:extLst>
          </c:dPt>
          <c:dPt>
            <c:idx val="4"/>
            <c:invertIfNegative val="0"/>
            <c:bubble3D val="0"/>
            <c:spPr>
              <a:solidFill>
                <a:srgbClr val="00A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49-4206-8D06-2C749D8286B7}"/>
              </c:ext>
            </c:extLst>
          </c:dPt>
          <c:errBars>
            <c:errBarType val="plus"/>
            <c:errValType val="cust"/>
            <c:noEndCap val="0"/>
            <c:plus>
              <c:numRef>
                <c:f>'shRNA Data'!$D$12:$D$16</c:f>
                <c:numCache>
                  <c:formatCode>General</c:formatCode>
                  <c:ptCount val="5"/>
                  <c:pt idx="0">
                    <c:v>9.0114442882637202E-2</c:v>
                  </c:pt>
                  <c:pt idx="1">
                    <c:v>5.3597990068762973E-2</c:v>
                  </c:pt>
                  <c:pt idx="2">
                    <c:v>7.7927676772977128E-2</c:v>
                  </c:pt>
                  <c:pt idx="3">
                    <c:v>3.4542642685079124E-2</c:v>
                  </c:pt>
                  <c:pt idx="4">
                    <c:v>0.14486655310505742</c:v>
                  </c:pt>
                </c:numCache>
              </c:numRef>
            </c:plus>
            <c:minus>
              <c:numRef>
                <c:f>'shRNA Data'!$D$12:$D$16</c:f>
                <c:numCache>
                  <c:formatCode>General</c:formatCode>
                  <c:ptCount val="5"/>
                  <c:pt idx="0">
                    <c:v>9.0114442882637202E-2</c:v>
                  </c:pt>
                  <c:pt idx="1">
                    <c:v>5.3597990068762973E-2</c:v>
                  </c:pt>
                  <c:pt idx="2">
                    <c:v>7.7927676772977128E-2</c:v>
                  </c:pt>
                  <c:pt idx="3">
                    <c:v>3.4542642685079124E-2</c:v>
                  </c:pt>
                  <c:pt idx="4">
                    <c:v>0.14486655310505742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'shRNA Data'!$B$12:$B$16</c:f>
              <c:strCache>
                <c:ptCount val="5"/>
                <c:pt idx="0">
                  <c:v>NC-1</c:v>
                </c:pt>
                <c:pt idx="1">
                  <c:v>shRNA 13.1</c:v>
                </c:pt>
                <c:pt idx="2">
                  <c:v>shRNA 13.2</c:v>
                </c:pt>
                <c:pt idx="3">
                  <c:v>shRNA 13.3</c:v>
                </c:pt>
                <c:pt idx="4">
                  <c:v>overexpression</c:v>
                </c:pt>
              </c:strCache>
            </c:strRef>
          </c:cat>
          <c:val>
            <c:numRef>
              <c:f>'shRNA Data'!$C$12:$C$16</c:f>
              <c:numCache>
                <c:formatCode>General</c:formatCode>
                <c:ptCount val="5"/>
                <c:pt idx="0">
                  <c:v>1.7385431697931697</c:v>
                </c:pt>
                <c:pt idx="1">
                  <c:v>1.2333333333333332</c:v>
                </c:pt>
                <c:pt idx="2">
                  <c:v>1.2982374768089053</c:v>
                </c:pt>
                <c:pt idx="3">
                  <c:v>1.2744671812106023</c:v>
                </c:pt>
                <c:pt idx="4">
                  <c:v>1.806878306878307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49-4206-8D06-2C749D828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36372448"/>
        <c:axId val="136369536"/>
      </c:barChart>
      <c:catAx>
        <c:axId val="1363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69536"/>
        <c:crosses val="autoZero"/>
        <c:auto val="1"/>
        <c:lblAlgn val="ctr"/>
        <c:lblOffset val="100"/>
        <c:noMultiLvlLbl val="0"/>
      </c:catAx>
      <c:valAx>
        <c:axId val="136369536"/>
        <c:scaling>
          <c:orientation val="minMax"/>
          <c:max val="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72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'shRNA Data'!$E$11</c:f>
              <c:strCache>
                <c:ptCount val="1"/>
                <c:pt idx="0">
                  <c:v>Granule Area</c:v>
                </c:pt>
              </c:strCache>
            </c:strRef>
          </c:tx>
          <c:spPr>
            <a:solidFill>
              <a:schemeClr val="bg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1B-4711-99CB-5D2990E33461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1B-4711-99CB-5D2990E33461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1B-4711-99CB-5D2990E33461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1B-4711-99CB-5D2990E33461}"/>
              </c:ext>
            </c:extLst>
          </c:dPt>
          <c:dPt>
            <c:idx val="4"/>
            <c:invertIfNegative val="0"/>
            <c:bubble3D val="0"/>
            <c:spPr>
              <a:solidFill>
                <a:srgbClr val="00AF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1B-4711-99CB-5D2990E33461}"/>
              </c:ext>
            </c:extLst>
          </c:dPt>
          <c:errBars>
            <c:errBarType val="plus"/>
            <c:errValType val="cust"/>
            <c:noEndCap val="0"/>
            <c:plus>
              <c:numRef>
                <c:f>'shRNA Data'!$F$12:$F$16</c:f>
                <c:numCache>
                  <c:formatCode>General</c:formatCode>
                  <c:ptCount val="5"/>
                  <c:pt idx="0">
                    <c:v>2.2243003752977789E-2</c:v>
                  </c:pt>
                  <c:pt idx="1">
                    <c:v>2.5060924893006705E-2</c:v>
                  </c:pt>
                  <c:pt idx="2">
                    <c:v>3.0625716049310275E-2</c:v>
                  </c:pt>
                  <c:pt idx="3">
                    <c:v>3.0068644791582312E-2</c:v>
                  </c:pt>
                  <c:pt idx="4">
                    <c:v>4.4479723032289066E-2</c:v>
                  </c:pt>
                </c:numCache>
              </c:numRef>
            </c:plus>
            <c:minus>
              <c:numRef>
                <c:f>'shRNA Data'!$F$12:$F$16</c:f>
                <c:numCache>
                  <c:formatCode>General</c:formatCode>
                  <c:ptCount val="5"/>
                  <c:pt idx="0">
                    <c:v>2.2243003752977789E-2</c:v>
                  </c:pt>
                  <c:pt idx="1">
                    <c:v>2.5060924893006705E-2</c:v>
                  </c:pt>
                  <c:pt idx="2">
                    <c:v>3.0625716049310275E-2</c:v>
                  </c:pt>
                  <c:pt idx="3">
                    <c:v>3.0068644791582312E-2</c:v>
                  </c:pt>
                  <c:pt idx="4">
                    <c:v>4.4479723032289066E-2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'shRNA Data'!$B$12:$B$16</c:f>
              <c:strCache>
                <c:ptCount val="5"/>
                <c:pt idx="0">
                  <c:v>NC-1</c:v>
                </c:pt>
                <c:pt idx="1">
                  <c:v>shRNA 13.1</c:v>
                </c:pt>
                <c:pt idx="2">
                  <c:v>shRNA 13.2</c:v>
                </c:pt>
                <c:pt idx="3">
                  <c:v>shRNA 13.3</c:v>
                </c:pt>
                <c:pt idx="4">
                  <c:v>overexpression</c:v>
                </c:pt>
              </c:strCache>
            </c:strRef>
          </c:cat>
          <c:val>
            <c:numRef>
              <c:f>'shRNA Data'!$E$12:$E$16</c:f>
              <c:numCache>
                <c:formatCode>General</c:formatCode>
                <c:ptCount val="5"/>
                <c:pt idx="0">
                  <c:v>1.1141794999999999</c:v>
                </c:pt>
                <c:pt idx="1">
                  <c:v>0.97309166666666669</c:v>
                </c:pt>
                <c:pt idx="2">
                  <c:v>1.0479842222222224</c:v>
                </c:pt>
                <c:pt idx="3">
                  <c:v>0.88507888888888897</c:v>
                </c:pt>
                <c:pt idx="4">
                  <c:v>1.4156094285714285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1B-4711-99CB-5D2990E33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36372448"/>
        <c:axId val="136369536"/>
      </c:barChart>
      <c:catAx>
        <c:axId val="1363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69536"/>
        <c:crosses val="autoZero"/>
        <c:auto val="1"/>
        <c:lblAlgn val="ctr"/>
        <c:lblOffset val="100"/>
        <c:noMultiLvlLbl val="0"/>
      </c:catAx>
      <c:valAx>
        <c:axId val="136369536"/>
        <c:scaling>
          <c:orientation val="minMax"/>
          <c:max val="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72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480059</xdr:colOff>
      <xdr:row>7</xdr:row>
      <xdr:rowOff>179070</xdr:rowOff>
    </xdr:from>
    <xdr:to>
      <xdr:col>11</xdr:col>
      <xdr:colOff>231484</xdr:colOff>
      <xdr:row>24</xdr:row>
      <xdr:rowOff>123190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C1980-80CC-48A8-BDD1-60146FDB9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350520</xdr:colOff>
      <xdr:row>7</xdr:row>
      <xdr:rowOff>182880</xdr:rowOff>
    </xdr:from>
    <xdr:to>
      <xdr:col>16</xdr:col>
      <xdr:colOff>25400</xdr:colOff>
      <xdr:row>24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CADDB-4EB6-42E5-B8ED-5F0533058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502920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B0D2B-D65A-49AC-81A8-A68128825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</xdr:row>
      <xdr:rowOff>15240</xdr:rowOff>
    </xdr:from>
    <xdr:to>
      <xdr:col>8</xdr:col>
      <xdr:colOff>541020</xdr:colOff>
      <xdr:row>17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406B0-98CD-4DD7-909C-EDDF86F79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2ED6-B562-4F68-9F10-79A83C90A9EE}">
  <dimension ref="A1:R24"/>
  <sheetViews>
    <sheetView topLeftCell="C1" workbookViewId="0">
      <selection activeCell="R16" sqref="R16"/>
    </sheetView>
  </sheetViews>
  <sheetFormatPr baseColWidth="10" defaultColWidth="8.83203125" defaultRowHeight="15" x14ac:dyDescent="0.2"/>
  <cols>
    <col min="3" max="3" width="18.5" bestFit="1" customWidth="1"/>
    <col min="5" max="5" width="15.33203125" bestFit="1" customWidth="1"/>
    <col min="6" max="6" width="12.1640625" bestFit="1" customWidth="1"/>
    <col min="7" max="7" width="10.1640625" bestFit="1" customWidth="1"/>
    <col min="8" max="8" width="18.1640625" bestFit="1" customWidth="1"/>
    <col min="9" max="9" width="14.33203125" bestFit="1" customWidth="1"/>
    <col min="12" max="12" width="18.33203125" bestFit="1" customWidth="1"/>
    <col min="16" max="16" width="15.1640625" bestFit="1" customWidth="1"/>
  </cols>
  <sheetData>
    <row r="1" spans="1:18" x14ac:dyDescent="0.2">
      <c r="A1" s="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K1" t="s">
        <v>31</v>
      </c>
      <c r="L1" t="s">
        <v>32</v>
      </c>
      <c r="M1" t="s">
        <v>33</v>
      </c>
      <c r="O1" t="s">
        <v>34</v>
      </c>
      <c r="P1" t="s">
        <v>35</v>
      </c>
      <c r="Q1" t="s">
        <v>33</v>
      </c>
    </row>
    <row r="2" spans="1:18" x14ac:dyDescent="0.2">
      <c r="A2" t="s">
        <v>36</v>
      </c>
      <c r="B2">
        <v>0.13015873015873014</v>
      </c>
      <c r="C2">
        <v>0.1291482260749714</v>
      </c>
      <c r="D2">
        <v>0.16149479999999999</v>
      </c>
      <c r="E2">
        <v>0.15153246307210874</v>
      </c>
      <c r="F2">
        <v>39</v>
      </c>
      <c r="G2">
        <v>5</v>
      </c>
      <c r="H2">
        <f>C2/SQRT(6)</f>
        <v>5.2724542511547574E-2</v>
      </c>
      <c r="I2">
        <f t="shared" ref="I2:I3" si="0">E2/(SQRT(G2))</f>
        <v>6.7767377645442356E-2</v>
      </c>
      <c r="K2">
        <f>(C2^2)/6</f>
        <v>2.7798773830519873E-3</v>
      </c>
      <c r="L2">
        <f>(B3-B2)/(SQRT(K3+K2))</f>
        <v>15.405182530147091</v>
      </c>
      <c r="M2">
        <f t="shared" ref="M2:M4" si="1">(_xlfn.T.DIST.2T(ABS(L2),10))</f>
        <v>2.7055520772097726E-8</v>
      </c>
      <c r="O2">
        <f t="shared" ref="O2:O3" si="2">(E2^2)/G2</f>
        <v>4.5924174729399993E-3</v>
      </c>
      <c r="P2">
        <f>(D3-D2)/(SQRT(O3+O2))</f>
        <v>13.35706751234709</v>
      </c>
      <c r="Q2">
        <f t="shared" ref="Q2:Q4" si="3">_xlfn.T.DIST.2T(ABS(P2),10)</f>
        <v>1.0602285057529462E-7</v>
      </c>
      <c r="R2" t="s">
        <v>37</v>
      </c>
    </row>
    <row r="3" spans="1:18" x14ac:dyDescent="0.2">
      <c r="A3" t="s">
        <v>38</v>
      </c>
      <c r="B3">
        <v>1.7385431697931697</v>
      </c>
      <c r="C3">
        <v>0.99534655450142906</v>
      </c>
      <c r="D3">
        <v>1.1141794999999999</v>
      </c>
      <c r="E3">
        <v>0.32079316220679743</v>
      </c>
      <c r="F3">
        <v>122</v>
      </c>
      <c r="G3">
        <v>208</v>
      </c>
      <c r="H3">
        <f t="shared" ref="H3" si="4">C3/SQRT(F3)</f>
        <v>9.0114442882637202E-2</v>
      </c>
      <c r="I3">
        <f t="shared" si="0"/>
        <v>2.2243003752977789E-2</v>
      </c>
      <c r="K3">
        <f t="shared" ref="K3" si="5">(C3^2)/F3</f>
        <v>8.1206128160480843E-3</v>
      </c>
      <c r="L3">
        <f t="shared" ref="L3" si="6">(B3-B$3)/(SQRT(K3+K$3))</f>
        <v>0</v>
      </c>
      <c r="M3">
        <f t="shared" si="1"/>
        <v>1</v>
      </c>
      <c r="O3">
        <f t="shared" si="2"/>
        <v>4.9475121595498391E-4</v>
      </c>
      <c r="P3">
        <f t="shared" ref="P3" si="7">(D3-D$3)/(SQRT(O3+O$3))</f>
        <v>0</v>
      </c>
      <c r="Q3">
        <f t="shared" si="3"/>
        <v>1</v>
      </c>
      <c r="R3" t="s">
        <v>39</v>
      </c>
    </row>
    <row r="4" spans="1:18" x14ac:dyDescent="0.2">
      <c r="A4" t="s">
        <v>44</v>
      </c>
      <c r="B4">
        <f>Import!M11</f>
        <v>1.2333333333333332</v>
      </c>
      <c r="C4">
        <f>Import!M12</f>
        <v>0.47336463120312944</v>
      </c>
      <c r="D4">
        <f>Import!D11</f>
        <v>0.97309166666666669</v>
      </c>
      <c r="E4">
        <f>Import!D12</f>
        <v>0.25801801368945126</v>
      </c>
      <c r="F4">
        <f>SUM(Import!G2:G10)</f>
        <v>78</v>
      </c>
      <c r="G4">
        <f>SUM(Import!B2:B10)</f>
        <v>106</v>
      </c>
      <c r="H4">
        <f t="shared" ref="H4" si="8">C4/SQRT(F4)</f>
        <v>5.3597990068762973E-2</v>
      </c>
      <c r="I4">
        <f t="shared" ref="I4" si="9">E4/(SQRT(G4))</f>
        <v>2.5060924893006705E-2</v>
      </c>
      <c r="K4">
        <f t="shared" ref="K4" si="10">(C4^2)/F4</f>
        <v>2.8727445394112145E-3</v>
      </c>
      <c r="L4">
        <f t="shared" ref="L4" si="11">(B4-B$3)/(SQRT(K4+K$3))</f>
        <v>-4.818441880115647</v>
      </c>
      <c r="M4">
        <f t="shared" si="1"/>
        <v>7.0387041050882669E-4</v>
      </c>
      <c r="O4">
        <f t="shared" ref="O4" si="12">(E4^2)/G4</f>
        <v>6.2804995649292316E-4</v>
      </c>
      <c r="P4">
        <f t="shared" ref="P4" si="13">(D4-D$3)/(SQRT(O4+O$3))</f>
        <v>-4.2105432759035892</v>
      </c>
      <c r="Q4">
        <f t="shared" si="3"/>
        <v>1.7983717698550749E-3</v>
      </c>
      <c r="R4" t="s">
        <v>39</v>
      </c>
    </row>
    <row r="5" spans="1:18" x14ac:dyDescent="0.2">
      <c r="A5" t="s">
        <v>45</v>
      </c>
      <c r="B5">
        <f>Import!M24</f>
        <v>1.2982374768089053</v>
      </c>
      <c r="C5">
        <f>Import!M25</f>
        <v>0.6793577359166183</v>
      </c>
      <c r="D5">
        <f>Import!D24</f>
        <v>1.0479842222222224</v>
      </c>
      <c r="E5">
        <f>Import!D25</f>
        <v>0.32411211355901814</v>
      </c>
      <c r="F5">
        <f>SUM(Import!G15:G23)</f>
        <v>76</v>
      </c>
      <c r="G5">
        <f>SUM(Import!B15:B23)</f>
        <v>112</v>
      </c>
      <c r="H5">
        <f t="shared" ref="H5" si="14">C5/SQRT(F5)</f>
        <v>7.7927676772977128E-2</v>
      </c>
      <c r="I5">
        <f t="shared" ref="I5" si="15">E5/(SQRT(G5))</f>
        <v>3.0625716049310275E-2</v>
      </c>
      <c r="K5">
        <f t="shared" ref="K5" si="16">(C5^2)/F5</f>
        <v>6.0727228072336012E-3</v>
      </c>
      <c r="L5">
        <f t="shared" ref="L5" si="17">(B5-B$3)/(SQRT(K5+K$3))</f>
        <v>-3.695830664705499</v>
      </c>
      <c r="M5">
        <f>(_xlfn.T.DIST.2T(ABS(L5),10))</f>
        <v>4.1368509301693644E-3</v>
      </c>
      <c r="O5">
        <f t="shared" ref="O5" si="18">(E5^2)/G5</f>
        <v>9.3793448353298098E-4</v>
      </c>
      <c r="P5">
        <f t="shared" ref="P5" si="19">(D5-D$3)/(SQRT(O5+O$3))</f>
        <v>-1.7488459111980168</v>
      </c>
      <c r="Q5">
        <f>_xlfn.T.DIST.2T(ABS(P5),10)</f>
        <v>0.11088775090055195</v>
      </c>
      <c r="R5" t="s">
        <v>39</v>
      </c>
    </row>
    <row r="6" spans="1:18" x14ac:dyDescent="0.2">
      <c r="A6" t="s">
        <v>50</v>
      </c>
      <c r="B6">
        <f>Import!M37</f>
        <v>1.2744671812106023</v>
      </c>
      <c r="C6">
        <f>Import!M38</f>
        <v>0.31658854961637545</v>
      </c>
      <c r="D6">
        <f>Import!D37</f>
        <v>0.88507888888888897</v>
      </c>
      <c r="E6">
        <f>Import!D38</f>
        <v>0.31679283034163014</v>
      </c>
      <c r="F6">
        <f>SUM(Import!G28:G36)</f>
        <v>84</v>
      </c>
      <c r="G6">
        <f>SUM(Import!B28:B36)</f>
        <v>111</v>
      </c>
      <c r="H6">
        <f t="shared" ref="H6" si="20">C6/SQRT(F6)</f>
        <v>3.4542642685079124E-2</v>
      </c>
      <c r="I6">
        <f t="shared" ref="I6" si="21">E6/(SQRT(G6))</f>
        <v>3.0068644791582312E-2</v>
      </c>
      <c r="K6">
        <f t="shared" ref="K6" si="22">(C6^2)/F6</f>
        <v>1.1931941636690502E-3</v>
      </c>
      <c r="L6">
        <f t="shared" ref="L6" si="23">(B6-B$3)/(SQRT(K6+K$3))</f>
        <v>-4.8086756207658103</v>
      </c>
      <c r="M6">
        <f>(_xlfn.T.DIST.2T(ABS(L6),10))</f>
        <v>7.1426263023121348E-4</v>
      </c>
      <c r="O6">
        <f t="shared" ref="O6" si="24">(E6^2)/G6</f>
        <v>9.0412339960234997E-4</v>
      </c>
      <c r="P6">
        <f t="shared" ref="P6" si="25">(D6-D$3)/(SQRT(O6+O$3))</f>
        <v>-6.1254338326374498</v>
      </c>
      <c r="Q6">
        <f>_xlfn.T.DIST.2T(ABS(P6),10)</f>
        <v>1.1187867411596169E-4</v>
      </c>
      <c r="R6" t="s">
        <v>39</v>
      </c>
    </row>
    <row r="7" spans="1:18" x14ac:dyDescent="0.2">
      <c r="A7" t="s">
        <v>55</v>
      </c>
      <c r="B7">
        <f>Import!M48</f>
        <v>1.806878306878307</v>
      </c>
      <c r="C7">
        <f>Import!M49</f>
        <v>0.96093600264314094</v>
      </c>
      <c r="D7">
        <f>Import!D48</f>
        <v>1.4156094285714285</v>
      </c>
      <c r="E7">
        <f>Import!D49</f>
        <v>0.36408222421446618</v>
      </c>
      <c r="F7">
        <f>SUM(Import!G41:G47)</f>
        <v>44</v>
      </c>
      <c r="G7">
        <f>SUM(Import!B41:B47)</f>
        <v>67</v>
      </c>
      <c r="H7">
        <f t="shared" ref="H7" si="26">C7/SQRT(F7)</f>
        <v>0.14486655310505742</v>
      </c>
      <c r="I7">
        <f t="shared" ref="I7" si="27">E7/(SQRT(G7))</f>
        <v>4.4479723032289066E-2</v>
      </c>
      <c r="K7">
        <f t="shared" ref="K7" si="28">(C7^2)/F7</f>
        <v>2.0986318208540421E-2</v>
      </c>
      <c r="L7">
        <f t="shared" ref="L7" si="29">(B7-B$3)/(SQRT(K7+K$3))</f>
        <v>0.40053997061054292</v>
      </c>
      <c r="M7">
        <f>(_xlfn.T.DIST.2T(ABS(L7),10))</f>
        <v>0.69718237084320789</v>
      </c>
      <c r="O7">
        <f t="shared" ref="O7" si="30">(E7^2)/G7</f>
        <v>1.9784457610291469E-3</v>
      </c>
      <c r="P7">
        <f t="shared" ref="P7" si="31">(D7-D$3)/(SQRT(O7+O$3))</f>
        <v>6.0611777057798975</v>
      </c>
      <c r="Q7">
        <f>_xlfn.T.DIST.2T(ABS(P7),10)</f>
        <v>1.2178979359311175E-4</v>
      </c>
      <c r="R7" t="s">
        <v>39</v>
      </c>
    </row>
    <row r="11" spans="1:18" x14ac:dyDescent="0.2">
      <c r="B11" t="s">
        <v>61</v>
      </c>
      <c r="C11" t="s">
        <v>23</v>
      </c>
      <c r="D11" t="s">
        <v>63</v>
      </c>
      <c r="E11" t="s">
        <v>25</v>
      </c>
      <c r="F11" t="s">
        <v>63</v>
      </c>
    </row>
    <row r="12" spans="1:18" x14ac:dyDescent="0.2">
      <c r="B12" t="s">
        <v>38</v>
      </c>
      <c r="C12">
        <f>B3</f>
        <v>1.7385431697931697</v>
      </c>
      <c r="D12">
        <f>H3</f>
        <v>9.0114442882637202E-2</v>
      </c>
      <c r="E12">
        <f>D3</f>
        <v>1.1141794999999999</v>
      </c>
      <c r="F12">
        <f>I3</f>
        <v>2.2243003752977789E-2</v>
      </c>
    </row>
    <row r="13" spans="1:18" x14ac:dyDescent="0.2">
      <c r="B13" t="s">
        <v>15</v>
      </c>
      <c r="C13">
        <f t="shared" ref="C13:C16" si="32">B4</f>
        <v>1.2333333333333332</v>
      </c>
      <c r="D13">
        <f t="shared" ref="D13:D16" si="33">H4</f>
        <v>5.3597990068762973E-2</v>
      </c>
      <c r="E13">
        <f t="shared" ref="E13:E16" si="34">D4</f>
        <v>0.97309166666666669</v>
      </c>
      <c r="F13">
        <f t="shared" ref="F13:F16" si="35">I4</f>
        <v>2.5060924893006705E-2</v>
      </c>
    </row>
    <row r="14" spans="1:18" x14ac:dyDescent="0.2">
      <c r="B14" t="s">
        <v>20</v>
      </c>
      <c r="C14">
        <f t="shared" si="32"/>
        <v>1.2982374768089053</v>
      </c>
      <c r="D14">
        <f t="shared" si="33"/>
        <v>7.7927676772977128E-2</v>
      </c>
      <c r="E14">
        <f t="shared" si="34"/>
        <v>1.0479842222222224</v>
      </c>
      <c r="F14">
        <f t="shared" si="35"/>
        <v>3.0625716049310275E-2</v>
      </c>
    </row>
    <row r="15" spans="1:18" x14ac:dyDescent="0.2">
      <c r="B15" t="s">
        <v>21</v>
      </c>
      <c r="C15">
        <f t="shared" si="32"/>
        <v>1.2744671812106023</v>
      </c>
      <c r="D15">
        <f t="shared" si="33"/>
        <v>3.4542642685079124E-2</v>
      </c>
      <c r="E15">
        <f t="shared" si="34"/>
        <v>0.88507888888888897</v>
      </c>
      <c r="F15">
        <f t="shared" si="35"/>
        <v>3.0068644791582312E-2</v>
      </c>
    </row>
    <row r="16" spans="1:18" x14ac:dyDescent="0.2">
      <c r="B16" t="s">
        <v>62</v>
      </c>
      <c r="C16">
        <f t="shared" si="32"/>
        <v>1.806878306878307</v>
      </c>
      <c r="D16">
        <f t="shared" si="33"/>
        <v>0.14486655310505742</v>
      </c>
      <c r="E16">
        <f t="shared" si="34"/>
        <v>1.4156094285714285</v>
      </c>
      <c r="F16">
        <f t="shared" si="35"/>
        <v>4.4479723032289066E-2</v>
      </c>
    </row>
    <row r="24" spans="5:5" x14ac:dyDescent="0.2">
      <c r="E2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D11E-B28C-421D-9DDD-7EB24C93831C}">
  <dimension ref="M9"/>
  <sheetViews>
    <sheetView workbookViewId="0"/>
  </sheetViews>
  <sheetFormatPr baseColWidth="10" defaultColWidth="8.83203125" defaultRowHeight="15" x14ac:dyDescent="0.2"/>
  <sheetData>
    <row r="9" spans="13:13" x14ac:dyDescent="0.2">
      <c r="M9" t="s">
        <v>64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E8D3-D1D8-4F34-B1C3-CDC5FC9451F2}">
  <dimension ref="A1:M50"/>
  <sheetViews>
    <sheetView tabSelected="1" topLeftCell="A5" workbookViewId="0">
      <selection activeCell="B39" sqref="B39"/>
    </sheetView>
  </sheetViews>
  <sheetFormatPr baseColWidth="10" defaultColWidth="8.83203125" defaultRowHeight="15" x14ac:dyDescent="0.2"/>
  <sheetData>
    <row r="1" spans="1:13" x14ac:dyDescent="0.2">
      <c r="A1">
        <v>13.1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</row>
    <row r="2" spans="1:13" x14ac:dyDescent="0.2">
      <c r="A2" t="s">
        <v>40</v>
      </c>
      <c r="B2">
        <v>12</v>
      </c>
      <c r="C2">
        <v>9.8078590000000005</v>
      </c>
      <c r="D2">
        <v>0.81732199999999999</v>
      </c>
      <c r="E2">
        <v>0.863317</v>
      </c>
      <c r="F2">
        <v>0.249218</v>
      </c>
      <c r="G2">
        <v>9</v>
      </c>
      <c r="H2">
        <v>12</v>
      </c>
      <c r="I2">
        <v>9.8078590000000005</v>
      </c>
      <c r="J2">
        <v>0.81732199999999999</v>
      </c>
      <c r="K2">
        <v>0.863317</v>
      </c>
      <c r="L2">
        <v>0.249218</v>
      </c>
      <c r="M2">
        <f>B2/G2</f>
        <v>1.3333333333333333</v>
      </c>
    </row>
    <row r="3" spans="1:13" x14ac:dyDescent="0.2">
      <c r="A3" t="s">
        <v>12</v>
      </c>
      <c r="B3">
        <v>14</v>
      </c>
      <c r="C3">
        <v>11.028918000000001</v>
      </c>
      <c r="D3">
        <v>0.78778000000000004</v>
      </c>
      <c r="E3">
        <v>0.81327300000000002</v>
      </c>
      <c r="F3">
        <v>0.21735599999999999</v>
      </c>
      <c r="G3">
        <v>12</v>
      </c>
      <c r="H3">
        <v>14</v>
      </c>
      <c r="I3">
        <v>11.028918000000001</v>
      </c>
      <c r="J3">
        <v>0.78778000000000004</v>
      </c>
      <c r="K3">
        <v>0.81327300000000002</v>
      </c>
      <c r="L3">
        <v>0.21735599999999999</v>
      </c>
      <c r="M3">
        <f t="shared" ref="M3:M10" si="0">B3/G3</f>
        <v>1.1666666666666667</v>
      </c>
    </row>
    <row r="4" spans="1:13" x14ac:dyDescent="0.2">
      <c r="A4" t="s">
        <v>13</v>
      </c>
      <c r="B4">
        <v>16</v>
      </c>
      <c r="C4">
        <v>9.335191</v>
      </c>
      <c r="D4">
        <v>0.583449</v>
      </c>
      <c r="E4">
        <v>0.58938299999999999</v>
      </c>
      <c r="F4">
        <v>0.147346</v>
      </c>
      <c r="G4">
        <v>15</v>
      </c>
      <c r="H4">
        <v>16</v>
      </c>
      <c r="I4">
        <v>9.335191</v>
      </c>
      <c r="J4">
        <v>0.583449</v>
      </c>
      <c r="K4">
        <v>0.58938299999999999</v>
      </c>
      <c r="L4">
        <v>0.147346</v>
      </c>
      <c r="M4">
        <f t="shared" si="0"/>
        <v>1.0666666666666667</v>
      </c>
    </row>
    <row r="5" spans="1:13" x14ac:dyDescent="0.2">
      <c r="A5" t="s">
        <v>14</v>
      </c>
      <c r="B5">
        <v>6</v>
      </c>
      <c r="C5">
        <v>4.8448460000000004</v>
      </c>
      <c r="D5">
        <v>0.80747400000000003</v>
      </c>
      <c r="E5">
        <v>0.79863499999999998</v>
      </c>
      <c r="F5">
        <v>0.326042</v>
      </c>
      <c r="G5">
        <v>15</v>
      </c>
      <c r="H5">
        <v>7</v>
      </c>
      <c r="I5">
        <v>6.3022390000000001</v>
      </c>
      <c r="J5">
        <v>0.90032000000000001</v>
      </c>
      <c r="K5">
        <v>0.76932299999999998</v>
      </c>
      <c r="L5">
        <v>0.29077700000000001</v>
      </c>
      <c r="M5">
        <f t="shared" si="0"/>
        <v>0.4</v>
      </c>
    </row>
    <row r="6" spans="1:13" x14ac:dyDescent="0.2">
      <c r="A6" t="s">
        <v>16</v>
      </c>
      <c r="B6">
        <v>17</v>
      </c>
      <c r="C6">
        <v>18.434048000000001</v>
      </c>
      <c r="D6">
        <v>1.0843560000000001</v>
      </c>
      <c r="E6">
        <v>1.0140389999999999</v>
      </c>
      <c r="F6">
        <v>0.24594099999999999</v>
      </c>
      <c r="G6">
        <v>7</v>
      </c>
      <c r="H6">
        <v>17</v>
      </c>
      <c r="I6">
        <v>18.434048000000001</v>
      </c>
      <c r="J6">
        <v>1.0843560000000001</v>
      </c>
      <c r="K6">
        <v>1.0140389999999999</v>
      </c>
      <c r="L6">
        <v>0.24594099999999999</v>
      </c>
    </row>
    <row r="7" spans="1:13" x14ac:dyDescent="0.2">
      <c r="A7" t="s">
        <v>17</v>
      </c>
      <c r="B7">
        <v>6</v>
      </c>
      <c r="C7">
        <v>6.1446829999999997</v>
      </c>
      <c r="D7">
        <v>1.024114</v>
      </c>
      <c r="E7">
        <v>0.94664800000000004</v>
      </c>
      <c r="F7">
        <v>0.386467</v>
      </c>
      <c r="G7">
        <v>3</v>
      </c>
      <c r="H7">
        <v>6</v>
      </c>
      <c r="I7">
        <v>6.1446829999999997</v>
      </c>
      <c r="J7">
        <v>1.024114</v>
      </c>
      <c r="K7">
        <v>0.94664800000000004</v>
      </c>
      <c r="L7">
        <v>0.386467</v>
      </c>
      <c r="M7">
        <f t="shared" si="0"/>
        <v>2</v>
      </c>
    </row>
    <row r="8" spans="1:13" x14ac:dyDescent="0.2">
      <c r="A8" t="s">
        <v>18</v>
      </c>
      <c r="B8">
        <v>8</v>
      </c>
      <c r="C8">
        <v>9.4533579999999997</v>
      </c>
      <c r="D8">
        <v>1.18167</v>
      </c>
      <c r="E8">
        <v>1.46475</v>
      </c>
      <c r="F8">
        <v>0.51786699999999997</v>
      </c>
      <c r="G8">
        <v>6</v>
      </c>
      <c r="H8">
        <v>8</v>
      </c>
      <c r="I8">
        <v>9.4533579999999997</v>
      </c>
      <c r="J8">
        <v>1.18167</v>
      </c>
      <c r="K8">
        <v>1.46475</v>
      </c>
      <c r="L8">
        <v>0.51786699999999997</v>
      </c>
      <c r="M8">
        <f t="shared" si="0"/>
        <v>1.3333333333333333</v>
      </c>
    </row>
    <row r="9" spans="1:13" x14ac:dyDescent="0.2">
      <c r="A9" t="s">
        <v>19</v>
      </c>
      <c r="B9">
        <v>23</v>
      </c>
      <c r="C9">
        <v>33.520032</v>
      </c>
      <c r="D9">
        <v>1.4573929999999999</v>
      </c>
      <c r="E9">
        <v>1.3483050000000001</v>
      </c>
      <c r="F9">
        <v>0.28114099999999997</v>
      </c>
      <c r="G9">
        <v>8</v>
      </c>
      <c r="H9">
        <v>26</v>
      </c>
      <c r="I9">
        <v>36.198483000000003</v>
      </c>
      <c r="J9">
        <v>1.3922490000000001</v>
      </c>
      <c r="K9">
        <v>1.2810539999999999</v>
      </c>
      <c r="L9">
        <v>0.25123499999999999</v>
      </c>
    </row>
    <row r="10" spans="1:13" x14ac:dyDescent="0.2">
      <c r="A10" t="s">
        <v>41</v>
      </c>
      <c r="B10">
        <v>4</v>
      </c>
      <c r="C10">
        <v>4.0570659999999998</v>
      </c>
      <c r="D10">
        <v>1.014267</v>
      </c>
      <c r="E10">
        <v>0.82646500000000001</v>
      </c>
      <c r="F10">
        <v>0.41323300000000002</v>
      </c>
      <c r="G10">
        <v>3</v>
      </c>
      <c r="H10">
        <v>4</v>
      </c>
      <c r="I10">
        <v>4.0570659999999998</v>
      </c>
      <c r="J10">
        <v>1.014267</v>
      </c>
      <c r="K10">
        <v>0.82646500000000001</v>
      </c>
      <c r="L10">
        <v>0.41323300000000002</v>
      </c>
      <c r="M10">
        <f t="shared" si="0"/>
        <v>1.3333333333333333</v>
      </c>
    </row>
    <row r="11" spans="1:13" x14ac:dyDescent="0.2">
      <c r="A11" t="s">
        <v>42</v>
      </c>
      <c r="B11">
        <f>AVERAGE(B2:B10)</f>
        <v>11.777777777777779</v>
      </c>
      <c r="C11">
        <f t="shared" ref="C11:M11" si="1">AVERAGE(C2:C10)</f>
        <v>11.847333444444445</v>
      </c>
      <c r="D11">
        <f t="shared" si="1"/>
        <v>0.97309166666666669</v>
      </c>
      <c r="E11">
        <f t="shared" si="1"/>
        <v>0.96275722222222226</v>
      </c>
      <c r="F11">
        <f t="shared" si="1"/>
        <v>0.30940122222222216</v>
      </c>
      <c r="G11">
        <f t="shared" si="1"/>
        <v>8.6666666666666661</v>
      </c>
      <c r="H11">
        <f t="shared" si="1"/>
        <v>12.222222222222221</v>
      </c>
      <c r="I11">
        <f t="shared" si="1"/>
        <v>12.306871666666668</v>
      </c>
      <c r="J11">
        <f t="shared" si="1"/>
        <v>0.97616966666666671</v>
      </c>
      <c r="K11">
        <f t="shared" si="1"/>
        <v>0.95202799999999987</v>
      </c>
      <c r="L11">
        <f t="shared" si="1"/>
        <v>0.30215999999999998</v>
      </c>
      <c r="M11">
        <f t="shared" si="1"/>
        <v>1.2333333333333332</v>
      </c>
    </row>
    <row r="12" spans="1:13" x14ac:dyDescent="0.2">
      <c r="A12" t="s">
        <v>43</v>
      </c>
      <c r="B12">
        <f>STDEV(B2:B10)</f>
        <v>6.3003527238119341</v>
      </c>
      <c r="C12">
        <f t="shared" ref="C12:M12" si="2">STDEV(C2:C10)</f>
        <v>9.166550800413372</v>
      </c>
      <c r="D12">
        <f t="shared" si="2"/>
        <v>0.25801801368945126</v>
      </c>
      <c r="E12">
        <f t="shared" si="2"/>
        <v>0.27854242038636418</v>
      </c>
      <c r="F12">
        <f t="shared" si="2"/>
        <v>0.11381846640349924</v>
      </c>
      <c r="G12">
        <f t="shared" si="2"/>
        <v>4.5552167895721496</v>
      </c>
      <c r="H12">
        <f t="shared" si="2"/>
        <v>6.9061164517002211</v>
      </c>
      <c r="I12">
        <f t="shared" si="2"/>
        <v>9.8443544366719653</v>
      </c>
      <c r="J12">
        <f t="shared" si="2"/>
        <v>0.23756911860709085</v>
      </c>
      <c r="K12">
        <f t="shared" si="2"/>
        <v>0.26990679827627551</v>
      </c>
      <c r="L12">
        <f t="shared" si="2"/>
        <v>0.11501078431934127</v>
      </c>
      <c r="M12">
        <f t="shared" si="2"/>
        <v>0.47336463120312944</v>
      </c>
    </row>
    <row r="13" spans="1:13" x14ac:dyDescent="0.2">
      <c r="B13">
        <f xml:space="preserve"> SUM(B2:B10)</f>
        <v>106</v>
      </c>
    </row>
    <row r="14" spans="1:13" x14ac:dyDescent="0.2">
      <c r="A14">
        <v>13.2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23</v>
      </c>
    </row>
    <row r="15" spans="1:13" x14ac:dyDescent="0.2">
      <c r="A15" t="s">
        <v>16</v>
      </c>
      <c r="B15">
        <v>21</v>
      </c>
      <c r="C15">
        <v>8.7443559999999998</v>
      </c>
      <c r="D15">
        <v>0.41639799999999999</v>
      </c>
      <c r="E15">
        <v>0.33459100000000003</v>
      </c>
      <c r="F15">
        <v>7.3013999999999996E-2</v>
      </c>
      <c r="G15">
        <v>11</v>
      </c>
      <c r="H15">
        <v>21</v>
      </c>
      <c r="I15">
        <v>8.7443559999999998</v>
      </c>
      <c r="J15">
        <v>0.41639799999999999</v>
      </c>
      <c r="K15">
        <v>0.33459100000000003</v>
      </c>
      <c r="L15">
        <v>7.3013999999999996E-2</v>
      </c>
      <c r="M15">
        <f>B15/G15</f>
        <v>1.9090909090909092</v>
      </c>
    </row>
    <row r="16" spans="1:13" x14ac:dyDescent="0.2">
      <c r="A16" t="s">
        <v>17</v>
      </c>
      <c r="B16">
        <v>8</v>
      </c>
      <c r="C16">
        <v>8.9806899999999992</v>
      </c>
      <c r="D16">
        <v>1.1225860000000001</v>
      </c>
      <c r="E16">
        <v>0.78213299999999997</v>
      </c>
      <c r="F16">
        <v>0.27652599999999999</v>
      </c>
      <c r="G16">
        <v>7</v>
      </c>
      <c r="H16">
        <v>8</v>
      </c>
      <c r="I16">
        <v>8.9806899999999992</v>
      </c>
      <c r="J16">
        <v>1.1225860000000001</v>
      </c>
      <c r="K16">
        <v>0.78213299999999997</v>
      </c>
      <c r="L16">
        <v>0.27652599999999999</v>
      </c>
      <c r="M16">
        <f t="shared" ref="M16:M23" si="3">B16/G16</f>
        <v>1.1428571428571428</v>
      </c>
    </row>
    <row r="17" spans="1:13" x14ac:dyDescent="0.2">
      <c r="A17" t="s">
        <v>18</v>
      </c>
      <c r="B17">
        <v>19</v>
      </c>
      <c r="C17">
        <v>14.692094000000001</v>
      </c>
      <c r="D17">
        <v>0.77326799999999996</v>
      </c>
      <c r="E17">
        <v>0.87173599999999996</v>
      </c>
      <c r="F17">
        <v>0.19999</v>
      </c>
      <c r="G17">
        <v>12</v>
      </c>
      <c r="H17">
        <v>19</v>
      </c>
      <c r="I17">
        <v>14.692094000000001</v>
      </c>
      <c r="J17">
        <v>0.77326799999999996</v>
      </c>
      <c r="K17">
        <v>0.87173599999999996</v>
      </c>
      <c r="L17">
        <v>0.19999</v>
      </c>
      <c r="M17">
        <f t="shared" si="3"/>
        <v>1.5833333333333333</v>
      </c>
    </row>
    <row r="18" spans="1:13" x14ac:dyDescent="0.2">
      <c r="A18" t="s">
        <v>19</v>
      </c>
      <c r="B18">
        <v>4</v>
      </c>
      <c r="C18">
        <v>4.4509559999999997</v>
      </c>
      <c r="D18">
        <v>1.1127389999999999</v>
      </c>
      <c r="E18">
        <v>0.83394000000000001</v>
      </c>
      <c r="F18">
        <v>0.41697000000000001</v>
      </c>
      <c r="G18">
        <v>14</v>
      </c>
      <c r="H18">
        <v>4</v>
      </c>
      <c r="I18">
        <v>4.4509559999999997</v>
      </c>
      <c r="J18">
        <v>1.1127389999999999</v>
      </c>
      <c r="K18">
        <v>0.83394000000000001</v>
      </c>
      <c r="L18">
        <v>0.41697000000000001</v>
      </c>
      <c r="M18">
        <f t="shared" si="3"/>
        <v>0.2857142857142857</v>
      </c>
    </row>
    <row r="19" spans="1:13" x14ac:dyDescent="0.2">
      <c r="A19" t="s">
        <v>41</v>
      </c>
      <c r="B19">
        <v>14</v>
      </c>
      <c r="C19">
        <v>15.243539999999999</v>
      </c>
      <c r="D19">
        <v>1.088824</v>
      </c>
      <c r="E19">
        <v>0.97682800000000003</v>
      </c>
      <c r="F19">
        <v>0.26106800000000002</v>
      </c>
      <c r="G19">
        <v>6</v>
      </c>
      <c r="H19">
        <v>14</v>
      </c>
      <c r="I19">
        <v>15.243539999999999</v>
      </c>
      <c r="J19">
        <v>1.088824</v>
      </c>
      <c r="K19">
        <v>0.97682800000000003</v>
      </c>
      <c r="L19">
        <v>0.26106800000000002</v>
      </c>
    </row>
    <row r="20" spans="1:13" x14ac:dyDescent="0.2">
      <c r="A20" t="s">
        <v>46</v>
      </c>
      <c r="B20">
        <v>10</v>
      </c>
      <c r="C20">
        <v>9.0200790000000008</v>
      </c>
      <c r="D20">
        <v>0.90200800000000003</v>
      </c>
      <c r="E20">
        <v>0.97539399999999998</v>
      </c>
      <c r="F20">
        <v>0.30844700000000003</v>
      </c>
      <c r="G20">
        <v>4</v>
      </c>
      <c r="H20">
        <v>10</v>
      </c>
      <c r="I20">
        <v>9.0200790000000008</v>
      </c>
      <c r="J20">
        <v>0.90200800000000003</v>
      </c>
      <c r="K20">
        <v>0.97539399999999998</v>
      </c>
      <c r="L20">
        <v>0.30844700000000003</v>
      </c>
    </row>
    <row r="21" spans="1:13" x14ac:dyDescent="0.2">
      <c r="A21" t="s">
        <v>47</v>
      </c>
      <c r="B21">
        <v>2</v>
      </c>
      <c r="C21">
        <v>2.2451729999999999</v>
      </c>
      <c r="D21">
        <v>1.1225860000000001</v>
      </c>
      <c r="E21">
        <v>0.47348800000000002</v>
      </c>
      <c r="F21">
        <v>0.33480599999999999</v>
      </c>
      <c r="G21">
        <v>4</v>
      </c>
      <c r="H21">
        <v>2</v>
      </c>
      <c r="I21">
        <v>2.2451729999999999</v>
      </c>
      <c r="J21">
        <v>1.1225860000000001</v>
      </c>
      <c r="K21">
        <v>0.47348800000000002</v>
      </c>
      <c r="L21">
        <v>0.33480599999999999</v>
      </c>
      <c r="M21">
        <f t="shared" si="3"/>
        <v>0.5</v>
      </c>
    </row>
    <row r="22" spans="1:13" x14ac:dyDescent="0.2">
      <c r="A22" t="s">
        <v>48</v>
      </c>
      <c r="B22">
        <v>24</v>
      </c>
      <c r="C22">
        <v>33.047364000000002</v>
      </c>
      <c r="D22">
        <v>1.376973</v>
      </c>
      <c r="E22">
        <v>2.1479759999999999</v>
      </c>
      <c r="F22">
        <v>0.43845400000000001</v>
      </c>
      <c r="G22">
        <v>12</v>
      </c>
      <c r="H22">
        <v>26</v>
      </c>
      <c r="I22">
        <v>85.316554999999994</v>
      </c>
      <c r="J22">
        <v>3.281406</v>
      </c>
      <c r="K22">
        <v>7.5094370000000001</v>
      </c>
      <c r="L22">
        <v>1.4727220000000001</v>
      </c>
      <c r="M22">
        <f t="shared" si="3"/>
        <v>2</v>
      </c>
    </row>
    <row r="23" spans="1:13" x14ac:dyDescent="0.2">
      <c r="A23" t="s">
        <v>49</v>
      </c>
      <c r="B23">
        <v>10</v>
      </c>
      <c r="C23">
        <v>15.164762</v>
      </c>
      <c r="D23">
        <v>1.5164759999999999</v>
      </c>
      <c r="E23">
        <v>1.496235</v>
      </c>
      <c r="F23">
        <v>0.47315099999999999</v>
      </c>
      <c r="G23">
        <v>6</v>
      </c>
      <c r="H23">
        <v>10</v>
      </c>
      <c r="I23">
        <v>15.164762</v>
      </c>
      <c r="J23">
        <v>1.5164759999999999</v>
      </c>
      <c r="K23">
        <v>1.496235</v>
      </c>
      <c r="L23">
        <v>0.47315099999999999</v>
      </c>
      <c r="M23">
        <f t="shared" si="3"/>
        <v>1.6666666666666667</v>
      </c>
    </row>
    <row r="24" spans="1:13" x14ac:dyDescent="0.2">
      <c r="A24" t="s">
        <v>42</v>
      </c>
      <c r="B24">
        <f>AVERAGE(B15:B23)</f>
        <v>12.444444444444445</v>
      </c>
      <c r="C24">
        <f t="shared" ref="C24" si="4">AVERAGE(C15:C23)</f>
        <v>12.398779333333334</v>
      </c>
      <c r="D24">
        <f t="shared" ref="D24" si="5">AVERAGE(D15:D23)</f>
        <v>1.0479842222222224</v>
      </c>
      <c r="E24">
        <f t="shared" ref="E24" si="6">AVERAGE(E15:E23)</f>
        <v>0.98803566666666653</v>
      </c>
      <c r="F24">
        <f t="shared" ref="F24" si="7">AVERAGE(F15:F23)</f>
        <v>0.30915844444444446</v>
      </c>
      <c r="G24">
        <f t="shared" ref="G24" si="8">AVERAGE(G15:G23)</f>
        <v>8.4444444444444446</v>
      </c>
      <c r="H24">
        <f t="shared" ref="H24" si="9">AVERAGE(H15:H23)</f>
        <v>12.666666666666666</v>
      </c>
      <c r="I24">
        <f t="shared" ref="I24" si="10">AVERAGE(I15:I23)</f>
        <v>18.206467222222223</v>
      </c>
      <c r="J24">
        <f t="shared" ref="J24" si="11">AVERAGE(J15:J23)</f>
        <v>1.2595878888888887</v>
      </c>
      <c r="K24">
        <f t="shared" ref="K24" si="12">AVERAGE(K15:K23)</f>
        <v>1.5837535555555555</v>
      </c>
      <c r="L24">
        <f t="shared" ref="L24" si="13">AVERAGE(L15:L23)</f>
        <v>0.42407711111111113</v>
      </c>
      <c r="M24">
        <f t="shared" ref="M24" si="14">AVERAGE(M15:M23)</f>
        <v>1.2982374768089053</v>
      </c>
    </row>
    <row r="25" spans="1:13" x14ac:dyDescent="0.2">
      <c r="A25" t="s">
        <v>43</v>
      </c>
      <c r="B25">
        <f>STDEV(B15:B23)</f>
        <v>7.6175965880176255</v>
      </c>
      <c r="C25">
        <f t="shared" ref="C25:M25" si="15">STDEV(C15:C23)</f>
        <v>9.0144608969579672</v>
      </c>
      <c r="D25">
        <f t="shared" si="15"/>
        <v>0.32411211355901814</v>
      </c>
      <c r="E25">
        <f t="shared" si="15"/>
        <v>0.5449116661879706</v>
      </c>
      <c r="F25">
        <f t="shared" si="15"/>
        <v>0.12597224342897037</v>
      </c>
      <c r="G25">
        <f t="shared" si="15"/>
        <v>3.811532208676423</v>
      </c>
      <c r="H25">
        <f t="shared" si="15"/>
        <v>8.0156097709406993</v>
      </c>
      <c r="I25">
        <f t="shared" si="15"/>
        <v>25.586028545886563</v>
      </c>
      <c r="J25">
        <f t="shared" si="15"/>
        <v>0.81527169651234155</v>
      </c>
      <c r="K25">
        <f t="shared" si="15"/>
        <v>2.2462392274869742</v>
      </c>
      <c r="L25">
        <f t="shared" si="15"/>
        <v>0.4100698349840684</v>
      </c>
      <c r="M25">
        <f t="shared" si="15"/>
        <v>0.6793577359166183</v>
      </c>
    </row>
    <row r="26" spans="1:13" x14ac:dyDescent="0.2">
      <c r="B26">
        <f xml:space="preserve"> SUM(B15:B23)</f>
        <v>112</v>
      </c>
    </row>
    <row r="27" spans="1:13" x14ac:dyDescent="0.2">
      <c r="A27">
        <v>13.3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23</v>
      </c>
    </row>
    <row r="28" spans="1:13" x14ac:dyDescent="0.2">
      <c r="A28" t="s">
        <v>41</v>
      </c>
      <c r="B28">
        <v>14</v>
      </c>
      <c r="C28">
        <v>12.053031000000001</v>
      </c>
      <c r="D28">
        <v>0.860931</v>
      </c>
      <c r="E28">
        <v>0.92863200000000001</v>
      </c>
      <c r="F28">
        <v>0.24818699999999999</v>
      </c>
      <c r="G28">
        <v>10</v>
      </c>
      <c r="H28">
        <v>15</v>
      </c>
      <c r="I28">
        <v>12.840811</v>
      </c>
      <c r="J28">
        <v>0.85605399999999998</v>
      </c>
      <c r="K28">
        <v>0.89505100000000004</v>
      </c>
      <c r="L28">
        <v>0.231101</v>
      </c>
      <c r="M28">
        <f>B28/G28</f>
        <v>1.4</v>
      </c>
    </row>
    <row r="29" spans="1:13" x14ac:dyDescent="0.2">
      <c r="A29" t="s">
        <v>46</v>
      </c>
      <c r="B29">
        <v>22</v>
      </c>
      <c r="C29">
        <v>13.037756</v>
      </c>
      <c r="D29">
        <v>0.59262499999999996</v>
      </c>
      <c r="E29">
        <v>0.47367900000000002</v>
      </c>
      <c r="F29">
        <v>0.100989</v>
      </c>
      <c r="G29">
        <v>19</v>
      </c>
      <c r="H29">
        <v>22</v>
      </c>
      <c r="I29">
        <v>13.037756</v>
      </c>
      <c r="J29">
        <v>0.59262499999999996</v>
      </c>
      <c r="K29">
        <v>0.47367900000000002</v>
      </c>
      <c r="L29">
        <v>0.100989</v>
      </c>
      <c r="M29">
        <f t="shared" ref="M29:M36" si="16">B29/G29</f>
        <v>1.1578947368421053</v>
      </c>
    </row>
    <row r="30" spans="1:13" x14ac:dyDescent="0.2">
      <c r="A30" t="s">
        <v>47</v>
      </c>
      <c r="B30">
        <v>10</v>
      </c>
      <c r="C30">
        <v>10.713806</v>
      </c>
      <c r="D30">
        <v>1.0713809999999999</v>
      </c>
      <c r="E30">
        <v>1.310443</v>
      </c>
      <c r="F30">
        <v>0.41439799999999999</v>
      </c>
      <c r="G30">
        <v>10</v>
      </c>
      <c r="H30">
        <v>10</v>
      </c>
      <c r="I30">
        <v>10.713806</v>
      </c>
      <c r="J30">
        <v>1.0713809999999999</v>
      </c>
      <c r="K30">
        <v>1.310443</v>
      </c>
      <c r="L30">
        <v>0.41439799999999999</v>
      </c>
      <c r="M30">
        <f t="shared" si="16"/>
        <v>1</v>
      </c>
    </row>
    <row r="31" spans="1:13" x14ac:dyDescent="0.2">
      <c r="A31" t="s">
        <v>48</v>
      </c>
      <c r="B31">
        <v>15</v>
      </c>
      <c r="C31">
        <v>7.5626860000000002</v>
      </c>
      <c r="D31">
        <v>0.50417900000000004</v>
      </c>
      <c r="E31">
        <v>0.429477</v>
      </c>
      <c r="F31">
        <v>0.11089</v>
      </c>
      <c r="G31">
        <v>11</v>
      </c>
      <c r="H31">
        <v>16</v>
      </c>
      <c r="I31">
        <v>8.0353539999999999</v>
      </c>
      <c r="J31">
        <v>0.50221000000000005</v>
      </c>
      <c r="K31">
        <v>0.414989</v>
      </c>
      <c r="L31">
        <v>0.10374700000000001</v>
      </c>
      <c r="M31">
        <f t="shared" si="16"/>
        <v>1.3636363636363635</v>
      </c>
    </row>
    <row r="32" spans="1:13" x14ac:dyDescent="0.2">
      <c r="A32" t="s">
        <v>49</v>
      </c>
      <c r="B32">
        <v>10</v>
      </c>
      <c r="C32">
        <v>7.4445189999999997</v>
      </c>
      <c r="D32">
        <v>0.744452</v>
      </c>
      <c r="E32">
        <v>0.88280800000000004</v>
      </c>
      <c r="F32">
        <v>0.27916800000000003</v>
      </c>
      <c r="G32">
        <v>5</v>
      </c>
      <c r="H32">
        <v>10</v>
      </c>
      <c r="I32">
        <v>7.4445189999999997</v>
      </c>
      <c r="J32">
        <v>0.744452</v>
      </c>
      <c r="K32">
        <v>0.88280800000000004</v>
      </c>
      <c r="L32">
        <v>0.27916800000000003</v>
      </c>
    </row>
    <row r="33" spans="1:13" x14ac:dyDescent="0.2">
      <c r="A33" t="s">
        <v>51</v>
      </c>
      <c r="B33">
        <v>9</v>
      </c>
      <c r="C33">
        <v>11.383418000000001</v>
      </c>
      <c r="D33">
        <v>1.2648239999999999</v>
      </c>
      <c r="E33">
        <v>1.6443950000000001</v>
      </c>
      <c r="F33">
        <v>0.54813199999999995</v>
      </c>
      <c r="G33">
        <v>8</v>
      </c>
      <c r="H33">
        <v>9</v>
      </c>
      <c r="I33">
        <v>11.383418000000001</v>
      </c>
      <c r="J33">
        <v>1.2648239999999999</v>
      </c>
      <c r="K33">
        <v>1.6443950000000001</v>
      </c>
      <c r="L33">
        <v>0.54813199999999995</v>
      </c>
      <c r="M33">
        <f t="shared" si="16"/>
        <v>1.125</v>
      </c>
    </row>
    <row r="34" spans="1:13" x14ac:dyDescent="0.2">
      <c r="A34" t="s">
        <v>52</v>
      </c>
      <c r="B34">
        <v>16</v>
      </c>
      <c r="C34">
        <v>20.797387000000001</v>
      </c>
      <c r="D34">
        <v>1.2998369999999999</v>
      </c>
      <c r="E34">
        <v>1.1422349999999999</v>
      </c>
      <c r="F34">
        <v>0.28555900000000001</v>
      </c>
      <c r="G34">
        <v>9</v>
      </c>
      <c r="H34">
        <v>16</v>
      </c>
      <c r="I34">
        <v>20.797387000000001</v>
      </c>
      <c r="J34">
        <v>1.2998369999999999</v>
      </c>
      <c r="K34">
        <v>1.1422349999999999</v>
      </c>
      <c r="L34">
        <v>0.28555900000000001</v>
      </c>
      <c r="M34">
        <f t="shared" si="16"/>
        <v>1.7777777777777777</v>
      </c>
    </row>
    <row r="35" spans="1:13" x14ac:dyDescent="0.2">
      <c r="A35" t="s">
        <v>53</v>
      </c>
      <c r="B35">
        <v>11</v>
      </c>
      <c r="C35">
        <v>5.5538480000000003</v>
      </c>
      <c r="D35">
        <v>0.50489499999999998</v>
      </c>
      <c r="E35">
        <v>0.32136100000000001</v>
      </c>
      <c r="F35">
        <v>9.6893999999999994E-2</v>
      </c>
      <c r="G35">
        <v>7</v>
      </c>
      <c r="H35">
        <v>11</v>
      </c>
      <c r="I35">
        <v>5.5538480000000003</v>
      </c>
      <c r="J35">
        <v>0.50489499999999998</v>
      </c>
      <c r="K35">
        <v>0.32136100000000001</v>
      </c>
      <c r="L35">
        <v>9.6893999999999994E-2</v>
      </c>
      <c r="M35">
        <f t="shared" si="16"/>
        <v>1.5714285714285714</v>
      </c>
    </row>
    <row r="36" spans="1:13" x14ac:dyDescent="0.2">
      <c r="A36" t="s">
        <v>54</v>
      </c>
      <c r="B36">
        <v>4</v>
      </c>
      <c r="C36">
        <v>4.4903449999999996</v>
      </c>
      <c r="D36">
        <v>1.1225860000000001</v>
      </c>
      <c r="E36">
        <v>0.75389899999999999</v>
      </c>
      <c r="F36">
        <v>0.37694899999999998</v>
      </c>
      <c r="G36">
        <v>5</v>
      </c>
      <c r="H36">
        <v>4</v>
      </c>
      <c r="I36">
        <v>4.4903449999999996</v>
      </c>
      <c r="J36">
        <v>1.1225860000000001</v>
      </c>
      <c r="K36">
        <v>0.75389899999999999</v>
      </c>
      <c r="L36">
        <v>0.37694899999999998</v>
      </c>
      <c r="M36">
        <f t="shared" si="16"/>
        <v>0.8</v>
      </c>
    </row>
    <row r="37" spans="1:13" x14ac:dyDescent="0.2">
      <c r="A37" t="s">
        <v>42</v>
      </c>
      <c r="B37">
        <f>AVERAGE(B28:B36)</f>
        <v>12.333333333333334</v>
      </c>
      <c r="C37">
        <f t="shared" ref="C37" si="17">AVERAGE(C28:C36)</f>
        <v>10.337421777777779</v>
      </c>
      <c r="D37">
        <f t="shared" ref="D37" si="18">AVERAGE(D28:D36)</f>
        <v>0.88507888888888897</v>
      </c>
      <c r="E37">
        <f t="shared" ref="E37" si="19">AVERAGE(E28:E36)</f>
        <v>0.87632544444444438</v>
      </c>
      <c r="F37">
        <f t="shared" ref="F37" si="20">AVERAGE(F28:F36)</f>
        <v>0.27346288888888881</v>
      </c>
      <c r="G37">
        <f t="shared" ref="G37" si="21">AVERAGE(G28:G36)</f>
        <v>9.3333333333333339</v>
      </c>
      <c r="H37">
        <f t="shared" ref="H37" si="22">AVERAGE(H28:H36)</f>
        <v>12.555555555555555</v>
      </c>
      <c r="I37">
        <f t="shared" ref="I37" si="23">AVERAGE(I28:I36)</f>
        <v>10.477471555555557</v>
      </c>
      <c r="J37">
        <f t="shared" ref="J37" si="24">AVERAGE(J28:J36)</f>
        <v>0.88431822222222223</v>
      </c>
      <c r="K37">
        <f t="shared" ref="K37" si="25">AVERAGE(K28:K36)</f>
        <v>0.87098444444444434</v>
      </c>
      <c r="L37">
        <f t="shared" ref="L37" si="26">AVERAGE(L28:L36)</f>
        <v>0.2707707777777778</v>
      </c>
      <c r="M37">
        <f t="shared" ref="M37" si="27">AVERAGE(M28:M36)</f>
        <v>1.2744671812106023</v>
      </c>
    </row>
    <row r="38" spans="1:13" x14ac:dyDescent="0.2">
      <c r="A38" t="s">
        <v>43</v>
      </c>
      <c r="B38">
        <f>STDEV(B28:B36)</f>
        <v>5.123475382979799</v>
      </c>
      <c r="C38">
        <f t="shared" ref="C38:M38" si="28">STDEV(C28:C36)</f>
        <v>4.9246915588141595</v>
      </c>
      <c r="D38">
        <f t="shared" si="28"/>
        <v>0.31679283034163014</v>
      </c>
      <c r="E38">
        <f t="shared" si="28"/>
        <v>0.43827021425888391</v>
      </c>
      <c r="F38">
        <f t="shared" si="28"/>
        <v>0.15579902726144068</v>
      </c>
      <c r="G38">
        <f t="shared" si="28"/>
        <v>4.2130748865881795</v>
      </c>
      <c r="H38">
        <f t="shared" si="28"/>
        <v>5.2466920795657304</v>
      </c>
      <c r="I38">
        <f t="shared" si="28"/>
        <v>4.9341687514832486</v>
      </c>
      <c r="J38">
        <f t="shared" si="28"/>
        <v>0.31713947162162653</v>
      </c>
      <c r="K38">
        <f t="shared" si="28"/>
        <v>0.43976726266148775</v>
      </c>
      <c r="L38">
        <f t="shared" si="28"/>
        <v>0.15718248384264832</v>
      </c>
      <c r="M38">
        <f t="shared" si="28"/>
        <v>0.31658854961637545</v>
      </c>
    </row>
    <row r="39" spans="1:13" x14ac:dyDescent="0.2">
      <c r="B39">
        <f xml:space="preserve"> SUM(B28:B36)</f>
        <v>111</v>
      </c>
    </row>
    <row r="40" spans="1:13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23</v>
      </c>
    </row>
    <row r="41" spans="1:13" x14ac:dyDescent="0.2">
      <c r="A41" t="s">
        <v>53</v>
      </c>
      <c r="B41">
        <v>4</v>
      </c>
      <c r="C41">
        <v>7.4445189999999997</v>
      </c>
      <c r="D41">
        <v>1.86113</v>
      </c>
      <c r="E41">
        <v>1.150795</v>
      </c>
      <c r="F41">
        <v>0.57539700000000005</v>
      </c>
      <c r="G41">
        <v>4</v>
      </c>
      <c r="H41">
        <v>4</v>
      </c>
      <c r="I41">
        <v>7.4445189999999997</v>
      </c>
      <c r="J41">
        <v>1.86113</v>
      </c>
      <c r="K41">
        <v>1.150795</v>
      </c>
      <c r="L41">
        <v>0.57539700000000005</v>
      </c>
      <c r="M41">
        <f>B41/G41</f>
        <v>1</v>
      </c>
    </row>
    <row r="42" spans="1:13" x14ac:dyDescent="0.2">
      <c r="A42" t="s">
        <v>54</v>
      </c>
      <c r="B42">
        <v>10</v>
      </c>
      <c r="C42">
        <v>11.422807000000001</v>
      </c>
      <c r="D42">
        <v>1.1422810000000001</v>
      </c>
      <c r="E42">
        <v>0.93192900000000001</v>
      </c>
      <c r="F42">
        <v>0.29470200000000002</v>
      </c>
      <c r="G42">
        <v>7</v>
      </c>
      <c r="H42">
        <v>10</v>
      </c>
      <c r="I42">
        <v>11.422807000000001</v>
      </c>
      <c r="J42">
        <v>1.1422810000000001</v>
      </c>
      <c r="K42">
        <v>0.93192900000000001</v>
      </c>
      <c r="L42">
        <v>0.29470200000000002</v>
      </c>
      <c r="M42">
        <f t="shared" ref="M42:M47" si="29">B42/G42</f>
        <v>1.4285714285714286</v>
      </c>
    </row>
    <row r="43" spans="1:13" x14ac:dyDescent="0.2">
      <c r="A43" t="s">
        <v>56</v>
      </c>
      <c r="B43">
        <v>11</v>
      </c>
      <c r="C43">
        <v>10.122971</v>
      </c>
      <c r="D43">
        <v>0.92027000000000003</v>
      </c>
      <c r="E43">
        <v>0.62161599999999995</v>
      </c>
      <c r="F43">
        <v>0.18742400000000001</v>
      </c>
      <c r="G43">
        <v>3</v>
      </c>
      <c r="H43">
        <v>11</v>
      </c>
      <c r="I43">
        <v>10.122971</v>
      </c>
      <c r="J43">
        <v>0.92027000000000003</v>
      </c>
      <c r="K43">
        <v>0.62161599999999995</v>
      </c>
      <c r="L43">
        <v>0.18742400000000001</v>
      </c>
      <c r="M43">
        <f t="shared" si="29"/>
        <v>3.6666666666666665</v>
      </c>
    </row>
    <row r="44" spans="1:13" x14ac:dyDescent="0.2">
      <c r="A44" t="s">
        <v>57</v>
      </c>
      <c r="B44">
        <v>11</v>
      </c>
      <c r="C44">
        <v>14.967817</v>
      </c>
      <c r="D44">
        <v>1.360711</v>
      </c>
      <c r="E44">
        <v>0.675234</v>
      </c>
      <c r="F44">
        <v>0.20359099999999999</v>
      </c>
      <c r="G44">
        <v>9</v>
      </c>
      <c r="H44">
        <v>11</v>
      </c>
      <c r="I44">
        <v>14.967817</v>
      </c>
      <c r="J44">
        <v>1.360711</v>
      </c>
      <c r="K44">
        <v>0.675234</v>
      </c>
      <c r="L44">
        <v>0.20359099999999999</v>
      </c>
      <c r="M44">
        <f t="shared" si="29"/>
        <v>1.2222222222222223</v>
      </c>
    </row>
    <row r="45" spans="1:13" x14ac:dyDescent="0.2">
      <c r="A45" t="s">
        <v>58</v>
      </c>
      <c r="B45">
        <v>15</v>
      </c>
      <c r="C45">
        <v>28.832742</v>
      </c>
      <c r="D45">
        <v>1.922183</v>
      </c>
      <c r="E45">
        <v>1.019037</v>
      </c>
      <c r="F45">
        <v>0.26311400000000001</v>
      </c>
      <c r="G45">
        <v>9</v>
      </c>
      <c r="H45">
        <v>15</v>
      </c>
      <c r="I45">
        <v>28.832742</v>
      </c>
      <c r="J45">
        <v>1.922183</v>
      </c>
      <c r="K45">
        <v>1.019037</v>
      </c>
      <c r="L45">
        <v>0.26311400000000001</v>
      </c>
      <c r="M45">
        <f t="shared" si="29"/>
        <v>1.6666666666666667</v>
      </c>
    </row>
    <row r="46" spans="1:13" x14ac:dyDescent="0.2">
      <c r="A46" t="s">
        <v>59</v>
      </c>
      <c r="B46">
        <v>3</v>
      </c>
      <c r="C46">
        <v>4.2540110000000002</v>
      </c>
      <c r="D46">
        <v>1.418004</v>
      </c>
      <c r="E46">
        <v>0.39389000000000002</v>
      </c>
      <c r="F46">
        <v>0.227412</v>
      </c>
      <c r="G46">
        <v>5</v>
      </c>
      <c r="H46">
        <v>3</v>
      </c>
      <c r="I46">
        <v>4.2540110000000002</v>
      </c>
      <c r="J46">
        <v>1.418004</v>
      </c>
      <c r="K46">
        <v>0.39389000000000002</v>
      </c>
      <c r="L46">
        <v>0.227412</v>
      </c>
    </row>
    <row r="47" spans="1:13" x14ac:dyDescent="0.2">
      <c r="A47" t="s">
        <v>60</v>
      </c>
      <c r="B47">
        <v>13</v>
      </c>
      <c r="C47">
        <v>16.700932000000002</v>
      </c>
      <c r="D47">
        <v>1.2846869999999999</v>
      </c>
      <c r="E47">
        <v>0.84839500000000001</v>
      </c>
      <c r="F47">
        <v>0.23530200000000001</v>
      </c>
      <c r="G47">
        <v>7</v>
      </c>
      <c r="H47">
        <v>14</v>
      </c>
      <c r="I47">
        <v>17.016044000000001</v>
      </c>
      <c r="J47">
        <v>1.2154320000000001</v>
      </c>
      <c r="K47">
        <v>0.85531000000000001</v>
      </c>
      <c r="L47">
        <v>0.22859099999999999</v>
      </c>
      <c r="M47">
        <f t="shared" si="29"/>
        <v>1.8571428571428572</v>
      </c>
    </row>
    <row r="48" spans="1:13" x14ac:dyDescent="0.2">
      <c r="A48" t="s">
        <v>42</v>
      </c>
      <c r="B48">
        <f>AVERAGE(B39:B47)</f>
        <v>22.25</v>
      </c>
      <c r="C48">
        <f t="shared" ref="C48" si="30">AVERAGE(C39:C47)</f>
        <v>13.392257000000001</v>
      </c>
      <c r="D48">
        <f t="shared" ref="D48" si="31">AVERAGE(D39:D47)</f>
        <v>1.4156094285714285</v>
      </c>
      <c r="E48">
        <f t="shared" ref="E48" si="32">AVERAGE(E39:E47)</f>
        <v>0.80584228571428562</v>
      </c>
      <c r="F48">
        <f t="shared" ref="F48" si="33">AVERAGE(F39:F47)</f>
        <v>0.28384885714285712</v>
      </c>
      <c r="G48">
        <f t="shared" ref="G48" si="34">AVERAGE(G39:G47)</f>
        <v>6.2857142857142856</v>
      </c>
      <c r="H48">
        <f t="shared" ref="H48" si="35">AVERAGE(H39:H47)</f>
        <v>9.7142857142857135</v>
      </c>
      <c r="I48">
        <f t="shared" ref="I48" si="36">AVERAGE(I39:I47)</f>
        <v>13.437273000000001</v>
      </c>
      <c r="J48">
        <f t="shared" ref="J48" si="37">AVERAGE(J39:J47)</f>
        <v>1.405715857142857</v>
      </c>
      <c r="K48">
        <f t="shared" ref="K48" si="38">AVERAGE(K39:K47)</f>
        <v>0.80683014285714283</v>
      </c>
      <c r="L48">
        <f t="shared" ref="L48" si="39">AVERAGE(L39:L47)</f>
        <v>0.28289014285714287</v>
      </c>
      <c r="M48">
        <f t="shared" ref="M48" si="40">AVERAGE(M39:M47)</f>
        <v>1.806878306878307</v>
      </c>
    </row>
    <row r="49" spans="1:13" x14ac:dyDescent="0.2">
      <c r="A49" t="s">
        <v>43</v>
      </c>
      <c r="B49">
        <f>STDEV(B39:B47)</f>
        <v>36.098080677113963</v>
      </c>
      <c r="C49">
        <f t="shared" ref="C49:M49" si="41">STDEV(C39:C47)</f>
        <v>8.013409471316459</v>
      </c>
      <c r="D49">
        <f t="shared" si="41"/>
        <v>0.36408222421446618</v>
      </c>
      <c r="E49">
        <f t="shared" si="41"/>
        <v>0.25911885582213351</v>
      </c>
      <c r="F49">
        <f t="shared" si="41"/>
        <v>0.13343477651700436</v>
      </c>
      <c r="G49">
        <f t="shared" si="41"/>
        <v>2.3603873774083302</v>
      </c>
      <c r="H49">
        <f t="shared" si="41"/>
        <v>4.6084807950229365</v>
      </c>
      <c r="I49">
        <f t="shared" si="41"/>
        <v>8.0359474136932327</v>
      </c>
      <c r="J49">
        <f t="shared" si="41"/>
        <v>0.3691387131442731</v>
      </c>
      <c r="K49">
        <f t="shared" si="41"/>
        <v>0.25932122258145962</v>
      </c>
      <c r="L49">
        <f t="shared" si="41"/>
        <v>0.13386512927249905</v>
      </c>
      <c r="M49">
        <f t="shared" si="41"/>
        <v>0.96093600264314094</v>
      </c>
    </row>
    <row r="50" spans="1:13" x14ac:dyDescent="0.2">
      <c r="B50">
        <f xml:space="preserve"> SUM(B41:B47)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shRNA Data</vt:lpstr>
      <vt:lpstr>Graph Export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Rhine</dc:creator>
  <cp:lastModifiedBy>Gemechu Mekonnen</cp:lastModifiedBy>
  <cp:lastPrinted>2022-04-21T16:50:47Z</cp:lastPrinted>
  <dcterms:created xsi:type="dcterms:W3CDTF">2022-03-08T21:32:05Z</dcterms:created>
  <dcterms:modified xsi:type="dcterms:W3CDTF">2026-06-13T19:04:37Z</dcterms:modified>
</cp:coreProperties>
</file>