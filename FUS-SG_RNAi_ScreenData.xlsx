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mechu/Desktop/Research/Kevin Lab Files/DDX6 Data/Panel1_Data/"/>
    </mc:Choice>
  </mc:AlternateContent>
  <xr:revisionPtr revIDLastSave="0" documentId="13_ncr:1_{82E91720-AABA-2340-AE6A-B2E6EBC58277}" xr6:coauthVersionLast="47" xr6:coauthVersionMax="47" xr10:uidLastSave="{00000000-0000-0000-0000-000000000000}"/>
  <bookViews>
    <workbookView xWindow="28800" yWindow="-1780" windowWidth="38400" windowHeight="21000" xr2:uid="{FD44CBCB-A9DA-434D-BF83-331607910FA8}"/>
  </bookViews>
  <sheets>
    <sheet name="Compiled Data" sheetId="4" r:id="rId1"/>
    <sheet name="Figure Export" sheetId="5" r:id="rId2"/>
    <sheet name="shRNA Raw Dat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" i="4" l="1"/>
  <c r="O2" i="4"/>
  <c r="H21" i="4"/>
  <c r="I21" i="4"/>
  <c r="H22" i="4"/>
  <c r="I22" i="4"/>
  <c r="C154" i="1" l="1"/>
  <c r="D154" i="1"/>
  <c r="E154" i="1"/>
  <c r="F154" i="1"/>
  <c r="G154" i="1"/>
  <c r="H154" i="1"/>
  <c r="I154" i="1"/>
  <c r="J154" i="1"/>
  <c r="K154" i="1"/>
  <c r="L154" i="1"/>
  <c r="M154" i="1"/>
  <c r="C155" i="1"/>
  <c r="D155" i="1"/>
  <c r="E155" i="1"/>
  <c r="F155" i="1"/>
  <c r="G155" i="1"/>
  <c r="H155" i="1"/>
  <c r="I155" i="1"/>
  <c r="J155" i="1"/>
  <c r="K155" i="1"/>
  <c r="L155" i="1"/>
  <c r="M155" i="1"/>
  <c r="B155" i="1"/>
  <c r="B154" i="1"/>
  <c r="M148" i="1"/>
  <c r="M149" i="1"/>
  <c r="M150" i="1"/>
  <c r="M151" i="1"/>
  <c r="M152" i="1"/>
  <c r="M153" i="1"/>
  <c r="C189" i="1"/>
  <c r="D189" i="1"/>
  <c r="E189" i="1"/>
  <c r="F189" i="1"/>
  <c r="G189" i="1"/>
  <c r="H189" i="1"/>
  <c r="I189" i="1"/>
  <c r="J189" i="1"/>
  <c r="K189" i="1"/>
  <c r="L189" i="1"/>
  <c r="C190" i="1"/>
  <c r="D190" i="1"/>
  <c r="E190" i="1"/>
  <c r="F190" i="1"/>
  <c r="G190" i="1"/>
  <c r="H190" i="1"/>
  <c r="I190" i="1"/>
  <c r="J190" i="1"/>
  <c r="K190" i="1"/>
  <c r="L190" i="1"/>
  <c r="B190" i="1"/>
  <c r="B189" i="1"/>
  <c r="M183" i="1"/>
  <c r="M184" i="1"/>
  <c r="M185" i="1"/>
  <c r="M186" i="1"/>
  <c r="M187" i="1"/>
  <c r="M188" i="1"/>
  <c r="M276" i="1"/>
  <c r="M277" i="1"/>
  <c r="M278" i="1"/>
  <c r="M279" i="1"/>
  <c r="M280" i="1"/>
  <c r="M281" i="1"/>
  <c r="M282" i="1"/>
  <c r="C283" i="1"/>
  <c r="D283" i="1"/>
  <c r="E283" i="1"/>
  <c r="F283" i="1"/>
  <c r="G283" i="1"/>
  <c r="H283" i="1"/>
  <c r="I283" i="1"/>
  <c r="J283" i="1"/>
  <c r="K283" i="1"/>
  <c r="L283" i="1"/>
  <c r="C284" i="1"/>
  <c r="D284" i="1"/>
  <c r="E284" i="1"/>
  <c r="F284" i="1"/>
  <c r="G284" i="1"/>
  <c r="H284" i="1"/>
  <c r="I284" i="1"/>
  <c r="J284" i="1"/>
  <c r="K284" i="1"/>
  <c r="L284" i="1"/>
  <c r="B284" i="1"/>
  <c r="B283" i="1"/>
  <c r="C24" i="1"/>
  <c r="D24" i="1"/>
  <c r="E24" i="1"/>
  <c r="F24" i="1"/>
  <c r="G24" i="1"/>
  <c r="H24" i="1"/>
  <c r="I24" i="1"/>
  <c r="J24" i="1"/>
  <c r="K24" i="1"/>
  <c r="L24" i="1"/>
  <c r="B23" i="1"/>
  <c r="C23" i="1"/>
  <c r="D23" i="1"/>
  <c r="E23" i="1"/>
  <c r="F23" i="1"/>
  <c r="G23" i="1"/>
  <c r="H23" i="1"/>
  <c r="I23" i="1"/>
  <c r="J23" i="1"/>
  <c r="K23" i="1"/>
  <c r="L23" i="1"/>
  <c r="M22" i="1"/>
  <c r="M21" i="1"/>
  <c r="M20" i="1"/>
  <c r="M19" i="1"/>
  <c r="M18" i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3" i="4"/>
  <c r="K24" i="4"/>
  <c r="K25" i="4"/>
  <c r="K26" i="4"/>
  <c r="K27" i="4"/>
  <c r="K28" i="4"/>
  <c r="K29" i="4"/>
  <c r="K30" i="4"/>
  <c r="K31" i="4"/>
  <c r="K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3" i="4"/>
  <c r="H24" i="4"/>
  <c r="H25" i="4"/>
  <c r="H26" i="4"/>
  <c r="H27" i="4"/>
  <c r="H28" i="4"/>
  <c r="H29" i="4"/>
  <c r="H30" i="4"/>
  <c r="H31" i="4"/>
  <c r="H2" i="4"/>
  <c r="I5" i="4"/>
  <c r="O5" i="4"/>
  <c r="I6" i="4"/>
  <c r="O6" i="4"/>
  <c r="I7" i="4"/>
  <c r="O7" i="4"/>
  <c r="I8" i="4"/>
  <c r="O8" i="4"/>
  <c r="I9" i="4"/>
  <c r="O9" i="4"/>
  <c r="I10" i="4"/>
  <c r="O10" i="4"/>
  <c r="I11" i="4"/>
  <c r="O11" i="4"/>
  <c r="I12" i="4"/>
  <c r="O12" i="4"/>
  <c r="I13" i="4"/>
  <c r="O13" i="4"/>
  <c r="I14" i="4"/>
  <c r="O14" i="4"/>
  <c r="I15" i="4"/>
  <c r="O15" i="4"/>
  <c r="I16" i="4"/>
  <c r="O16" i="4"/>
  <c r="I17" i="4"/>
  <c r="O17" i="4"/>
  <c r="I18" i="4"/>
  <c r="O18" i="4"/>
  <c r="I19" i="4"/>
  <c r="O19" i="4"/>
  <c r="I20" i="4"/>
  <c r="O20" i="4"/>
  <c r="I23" i="4"/>
  <c r="O23" i="4"/>
  <c r="I24" i="4"/>
  <c r="O24" i="4"/>
  <c r="I25" i="4"/>
  <c r="O25" i="4"/>
  <c r="I26" i="4"/>
  <c r="O26" i="4"/>
  <c r="I27" i="4"/>
  <c r="O27" i="4"/>
  <c r="I28" i="4"/>
  <c r="O28" i="4"/>
  <c r="I29" i="4"/>
  <c r="O29" i="4"/>
  <c r="I30" i="4"/>
  <c r="O30" i="4"/>
  <c r="I31" i="4"/>
  <c r="O31" i="4"/>
  <c r="L294" i="1"/>
  <c r="K294" i="1"/>
  <c r="J294" i="1"/>
  <c r="I294" i="1"/>
  <c r="H294" i="1"/>
  <c r="G294" i="1"/>
  <c r="F294" i="1"/>
  <c r="E294" i="1"/>
  <c r="D294" i="1"/>
  <c r="C294" i="1"/>
  <c r="B294" i="1"/>
  <c r="L293" i="1"/>
  <c r="K293" i="1"/>
  <c r="J293" i="1"/>
  <c r="I293" i="1"/>
  <c r="H293" i="1"/>
  <c r="G293" i="1"/>
  <c r="F293" i="1"/>
  <c r="E293" i="1"/>
  <c r="D293" i="1"/>
  <c r="C293" i="1"/>
  <c r="B293" i="1"/>
  <c r="M292" i="1"/>
  <c r="M291" i="1"/>
  <c r="M290" i="1"/>
  <c r="M289" i="1"/>
  <c r="M288" i="1"/>
  <c r="M287" i="1"/>
  <c r="M275" i="1"/>
  <c r="M274" i="1"/>
  <c r="M273" i="1"/>
  <c r="M272" i="1"/>
  <c r="M271" i="1"/>
  <c r="M270" i="1"/>
  <c r="L267" i="1"/>
  <c r="K267" i="1"/>
  <c r="J267" i="1"/>
  <c r="I267" i="1"/>
  <c r="H267" i="1"/>
  <c r="G267" i="1"/>
  <c r="F267" i="1"/>
  <c r="E267" i="1"/>
  <c r="D267" i="1"/>
  <c r="C267" i="1"/>
  <c r="B267" i="1"/>
  <c r="L266" i="1"/>
  <c r="K266" i="1"/>
  <c r="J266" i="1"/>
  <c r="I266" i="1"/>
  <c r="H266" i="1"/>
  <c r="G266" i="1"/>
  <c r="F266" i="1"/>
  <c r="E266" i="1"/>
  <c r="D266" i="1"/>
  <c r="C266" i="1"/>
  <c r="B266" i="1"/>
  <c r="M265" i="1"/>
  <c r="M264" i="1"/>
  <c r="M263" i="1"/>
  <c r="M262" i="1"/>
  <c r="M261" i="1"/>
  <c r="M260" i="1"/>
  <c r="L257" i="1"/>
  <c r="K257" i="1"/>
  <c r="J257" i="1"/>
  <c r="I257" i="1"/>
  <c r="H257" i="1"/>
  <c r="G257" i="1"/>
  <c r="F257" i="1"/>
  <c r="E257" i="1"/>
  <c r="D257" i="1"/>
  <c r="C257" i="1"/>
  <c r="B257" i="1"/>
  <c r="L256" i="1"/>
  <c r="K256" i="1"/>
  <c r="J256" i="1"/>
  <c r="I256" i="1"/>
  <c r="H256" i="1"/>
  <c r="G256" i="1"/>
  <c r="F256" i="1"/>
  <c r="E256" i="1"/>
  <c r="D256" i="1"/>
  <c r="C256" i="1"/>
  <c r="B256" i="1"/>
  <c r="M255" i="1"/>
  <c r="M254" i="1"/>
  <c r="M253" i="1"/>
  <c r="M252" i="1"/>
  <c r="M251" i="1"/>
  <c r="L248" i="1"/>
  <c r="K248" i="1"/>
  <c r="J248" i="1"/>
  <c r="I248" i="1"/>
  <c r="H248" i="1"/>
  <c r="G248" i="1"/>
  <c r="F248" i="1"/>
  <c r="E248" i="1"/>
  <c r="D248" i="1"/>
  <c r="C248" i="1"/>
  <c r="B248" i="1"/>
  <c r="L247" i="1"/>
  <c r="K247" i="1"/>
  <c r="J247" i="1"/>
  <c r="I247" i="1"/>
  <c r="H247" i="1"/>
  <c r="G247" i="1"/>
  <c r="F247" i="1"/>
  <c r="E247" i="1"/>
  <c r="D247" i="1"/>
  <c r="C247" i="1"/>
  <c r="B247" i="1"/>
  <c r="M242" i="1"/>
  <c r="M243" i="1"/>
  <c r="M244" i="1"/>
  <c r="M245" i="1"/>
  <c r="M246" i="1"/>
  <c r="M241" i="1"/>
  <c r="L238" i="1"/>
  <c r="K238" i="1"/>
  <c r="J238" i="1"/>
  <c r="I238" i="1"/>
  <c r="H238" i="1"/>
  <c r="G238" i="1"/>
  <c r="F238" i="1"/>
  <c r="E238" i="1"/>
  <c r="D238" i="1"/>
  <c r="C238" i="1"/>
  <c r="B238" i="1"/>
  <c r="L237" i="1"/>
  <c r="K237" i="1"/>
  <c r="J237" i="1"/>
  <c r="I237" i="1"/>
  <c r="H237" i="1"/>
  <c r="G237" i="1"/>
  <c r="F237" i="1"/>
  <c r="E237" i="1"/>
  <c r="D237" i="1"/>
  <c r="C237" i="1"/>
  <c r="B237" i="1"/>
  <c r="M235" i="1"/>
  <c r="M234" i="1"/>
  <c r="M233" i="1"/>
  <c r="M232" i="1"/>
  <c r="L228" i="1"/>
  <c r="K228" i="1"/>
  <c r="J228" i="1"/>
  <c r="I228" i="1"/>
  <c r="H228" i="1"/>
  <c r="G228" i="1"/>
  <c r="F228" i="1"/>
  <c r="E228" i="1"/>
  <c r="D228" i="1"/>
  <c r="C228" i="1"/>
  <c r="B228" i="1"/>
  <c r="L227" i="1"/>
  <c r="K227" i="1"/>
  <c r="J227" i="1"/>
  <c r="I227" i="1"/>
  <c r="H227" i="1"/>
  <c r="G227" i="1"/>
  <c r="F227" i="1"/>
  <c r="E227" i="1"/>
  <c r="D227" i="1"/>
  <c r="C227" i="1"/>
  <c r="B227" i="1"/>
  <c r="M226" i="1"/>
  <c r="M225" i="1"/>
  <c r="M224" i="1"/>
  <c r="M223" i="1"/>
  <c r="M222" i="1"/>
  <c r="M221" i="1"/>
  <c r="L218" i="1"/>
  <c r="K218" i="1"/>
  <c r="J218" i="1"/>
  <c r="I218" i="1"/>
  <c r="H218" i="1"/>
  <c r="G218" i="1"/>
  <c r="F218" i="1"/>
  <c r="E218" i="1"/>
  <c r="D218" i="1"/>
  <c r="C218" i="1"/>
  <c r="B218" i="1"/>
  <c r="L217" i="1"/>
  <c r="K217" i="1"/>
  <c r="J217" i="1"/>
  <c r="I217" i="1"/>
  <c r="H217" i="1"/>
  <c r="G217" i="1"/>
  <c r="F217" i="1"/>
  <c r="E217" i="1"/>
  <c r="D217" i="1"/>
  <c r="C217" i="1"/>
  <c r="B217" i="1"/>
  <c r="M216" i="1"/>
  <c r="M215" i="1"/>
  <c r="M214" i="1"/>
  <c r="M213" i="1"/>
  <c r="M212" i="1"/>
  <c r="L209" i="1"/>
  <c r="K209" i="1"/>
  <c r="J209" i="1"/>
  <c r="I209" i="1"/>
  <c r="H209" i="1"/>
  <c r="G209" i="1"/>
  <c r="F209" i="1"/>
  <c r="E209" i="1"/>
  <c r="D209" i="1"/>
  <c r="C209" i="1"/>
  <c r="B209" i="1"/>
  <c r="L208" i="1"/>
  <c r="K208" i="1"/>
  <c r="J208" i="1"/>
  <c r="I208" i="1"/>
  <c r="H208" i="1"/>
  <c r="G208" i="1"/>
  <c r="F208" i="1"/>
  <c r="E208" i="1"/>
  <c r="D208" i="1"/>
  <c r="C208" i="1"/>
  <c r="B208" i="1"/>
  <c r="M207" i="1"/>
  <c r="M206" i="1"/>
  <c r="M205" i="1"/>
  <c r="M204" i="1"/>
  <c r="M203" i="1"/>
  <c r="L200" i="1"/>
  <c r="K200" i="1"/>
  <c r="J200" i="1"/>
  <c r="I200" i="1"/>
  <c r="H200" i="1"/>
  <c r="G200" i="1"/>
  <c r="F200" i="1"/>
  <c r="E200" i="1"/>
  <c r="D200" i="1"/>
  <c r="C200" i="1"/>
  <c r="B200" i="1"/>
  <c r="L199" i="1"/>
  <c r="K199" i="1"/>
  <c r="J199" i="1"/>
  <c r="I199" i="1"/>
  <c r="H199" i="1"/>
  <c r="G199" i="1"/>
  <c r="F199" i="1"/>
  <c r="E199" i="1"/>
  <c r="D199" i="1"/>
  <c r="C199" i="1"/>
  <c r="B199" i="1"/>
  <c r="M198" i="1"/>
  <c r="M197" i="1"/>
  <c r="M196" i="1"/>
  <c r="M195" i="1"/>
  <c r="M194" i="1"/>
  <c r="M193" i="1"/>
  <c r="M182" i="1"/>
  <c r="M181" i="1"/>
  <c r="M180" i="1"/>
  <c r="M179" i="1"/>
  <c r="M178" i="1"/>
  <c r="M190" i="1" s="1"/>
  <c r="L175" i="1"/>
  <c r="K175" i="1"/>
  <c r="J175" i="1"/>
  <c r="I175" i="1"/>
  <c r="H175" i="1"/>
  <c r="G175" i="1"/>
  <c r="F175" i="1"/>
  <c r="E175" i="1"/>
  <c r="D175" i="1"/>
  <c r="C175" i="1"/>
  <c r="B175" i="1"/>
  <c r="L174" i="1"/>
  <c r="K174" i="1"/>
  <c r="J174" i="1"/>
  <c r="I174" i="1"/>
  <c r="H174" i="1"/>
  <c r="G174" i="1"/>
  <c r="F174" i="1"/>
  <c r="E174" i="1"/>
  <c r="D174" i="1"/>
  <c r="C174" i="1"/>
  <c r="B174" i="1"/>
  <c r="M173" i="1"/>
  <c r="M172" i="1"/>
  <c r="M171" i="1"/>
  <c r="M170" i="1"/>
  <c r="M169" i="1"/>
  <c r="M168" i="1"/>
  <c r="M163" i="1"/>
  <c r="M162" i="1"/>
  <c r="M161" i="1"/>
  <c r="M160" i="1"/>
  <c r="M159" i="1"/>
  <c r="M158" i="1"/>
  <c r="L165" i="1"/>
  <c r="K165" i="1"/>
  <c r="J165" i="1"/>
  <c r="I165" i="1"/>
  <c r="H165" i="1"/>
  <c r="G165" i="1"/>
  <c r="F165" i="1"/>
  <c r="E165" i="1"/>
  <c r="D165" i="1"/>
  <c r="C165" i="1"/>
  <c r="B165" i="1"/>
  <c r="L164" i="1"/>
  <c r="K164" i="1"/>
  <c r="J164" i="1"/>
  <c r="I164" i="1"/>
  <c r="H164" i="1"/>
  <c r="G164" i="1"/>
  <c r="F164" i="1"/>
  <c r="E164" i="1"/>
  <c r="D164" i="1"/>
  <c r="C164" i="1"/>
  <c r="B164" i="1"/>
  <c r="M147" i="1"/>
  <c r="M146" i="1"/>
  <c r="M145" i="1"/>
  <c r="M144" i="1"/>
  <c r="M143" i="1"/>
  <c r="M142" i="1"/>
  <c r="L139" i="1"/>
  <c r="K139" i="1"/>
  <c r="J139" i="1"/>
  <c r="I139" i="1"/>
  <c r="H139" i="1"/>
  <c r="G139" i="1"/>
  <c r="F139" i="1"/>
  <c r="E139" i="1"/>
  <c r="D139" i="1"/>
  <c r="C139" i="1"/>
  <c r="B139" i="1"/>
  <c r="L138" i="1"/>
  <c r="K138" i="1"/>
  <c r="J138" i="1"/>
  <c r="I138" i="1"/>
  <c r="H138" i="1"/>
  <c r="G138" i="1"/>
  <c r="F138" i="1"/>
  <c r="E138" i="1"/>
  <c r="D138" i="1"/>
  <c r="C138" i="1"/>
  <c r="B138" i="1"/>
  <c r="M137" i="1"/>
  <c r="M136" i="1"/>
  <c r="M135" i="1"/>
  <c r="M134" i="1"/>
  <c r="M133" i="1"/>
  <c r="M132" i="1"/>
  <c r="L129" i="1"/>
  <c r="K129" i="1"/>
  <c r="J129" i="1"/>
  <c r="I129" i="1"/>
  <c r="H129" i="1"/>
  <c r="G129" i="1"/>
  <c r="F129" i="1"/>
  <c r="E129" i="1"/>
  <c r="D129" i="1"/>
  <c r="C129" i="1"/>
  <c r="B129" i="1"/>
  <c r="L128" i="1"/>
  <c r="K128" i="1"/>
  <c r="J128" i="1"/>
  <c r="I128" i="1"/>
  <c r="H128" i="1"/>
  <c r="G128" i="1"/>
  <c r="F128" i="1"/>
  <c r="E128" i="1"/>
  <c r="D128" i="1"/>
  <c r="C128" i="1"/>
  <c r="B128" i="1"/>
  <c r="M127" i="1"/>
  <c r="M126" i="1"/>
  <c r="M125" i="1"/>
  <c r="M124" i="1"/>
  <c r="M123" i="1"/>
  <c r="M122" i="1"/>
  <c r="L119" i="1"/>
  <c r="K119" i="1"/>
  <c r="J119" i="1"/>
  <c r="I119" i="1"/>
  <c r="H119" i="1"/>
  <c r="G119" i="1"/>
  <c r="F119" i="1"/>
  <c r="E119" i="1"/>
  <c r="D119" i="1"/>
  <c r="C119" i="1"/>
  <c r="B119" i="1"/>
  <c r="L118" i="1"/>
  <c r="K118" i="1"/>
  <c r="J118" i="1"/>
  <c r="I118" i="1"/>
  <c r="H118" i="1"/>
  <c r="G118" i="1"/>
  <c r="F118" i="1"/>
  <c r="E118" i="1"/>
  <c r="D118" i="1"/>
  <c r="C118" i="1"/>
  <c r="B118" i="1"/>
  <c r="M113" i="1"/>
  <c r="M114" i="1"/>
  <c r="M115" i="1"/>
  <c r="M116" i="1"/>
  <c r="M117" i="1"/>
  <c r="M112" i="1"/>
  <c r="L109" i="1"/>
  <c r="K109" i="1"/>
  <c r="J109" i="1"/>
  <c r="I109" i="1"/>
  <c r="H109" i="1"/>
  <c r="G109" i="1"/>
  <c r="F109" i="1"/>
  <c r="E109" i="1"/>
  <c r="D109" i="1"/>
  <c r="C109" i="1"/>
  <c r="B109" i="1"/>
  <c r="L108" i="1"/>
  <c r="K108" i="1"/>
  <c r="J108" i="1"/>
  <c r="I108" i="1"/>
  <c r="H108" i="1"/>
  <c r="G108" i="1"/>
  <c r="F108" i="1"/>
  <c r="E108" i="1"/>
  <c r="D108" i="1"/>
  <c r="C108" i="1"/>
  <c r="B108" i="1"/>
  <c r="M107" i="1"/>
  <c r="M105" i="1"/>
  <c r="M104" i="1"/>
  <c r="M103" i="1"/>
  <c r="M102" i="1"/>
  <c r="I3" i="4"/>
  <c r="I4" i="4"/>
  <c r="I2" i="4"/>
  <c r="O4" i="4"/>
  <c r="L99" i="1"/>
  <c r="K99" i="1"/>
  <c r="J99" i="1"/>
  <c r="I99" i="1"/>
  <c r="H99" i="1"/>
  <c r="G99" i="1"/>
  <c r="F99" i="1"/>
  <c r="E99" i="1"/>
  <c r="D99" i="1"/>
  <c r="C99" i="1"/>
  <c r="B99" i="1"/>
  <c r="L98" i="1"/>
  <c r="K98" i="1"/>
  <c r="J98" i="1"/>
  <c r="I98" i="1"/>
  <c r="H98" i="1"/>
  <c r="G98" i="1"/>
  <c r="F98" i="1"/>
  <c r="E98" i="1"/>
  <c r="D98" i="1"/>
  <c r="C98" i="1"/>
  <c r="B98" i="1"/>
  <c r="L90" i="1"/>
  <c r="K90" i="1"/>
  <c r="J90" i="1"/>
  <c r="I90" i="1"/>
  <c r="H90" i="1"/>
  <c r="G90" i="1"/>
  <c r="F90" i="1"/>
  <c r="E90" i="1"/>
  <c r="D90" i="1"/>
  <c r="C90" i="1"/>
  <c r="B90" i="1"/>
  <c r="L89" i="1"/>
  <c r="K89" i="1"/>
  <c r="J89" i="1"/>
  <c r="I89" i="1"/>
  <c r="H89" i="1"/>
  <c r="G89" i="1"/>
  <c r="F89" i="1"/>
  <c r="E89" i="1"/>
  <c r="D89" i="1"/>
  <c r="C89" i="1"/>
  <c r="B89" i="1"/>
  <c r="L81" i="1"/>
  <c r="K81" i="1"/>
  <c r="J81" i="1"/>
  <c r="I81" i="1"/>
  <c r="H81" i="1"/>
  <c r="G81" i="1"/>
  <c r="F81" i="1"/>
  <c r="E81" i="1"/>
  <c r="D81" i="1"/>
  <c r="C81" i="1"/>
  <c r="B81" i="1"/>
  <c r="L80" i="1"/>
  <c r="K80" i="1"/>
  <c r="J80" i="1"/>
  <c r="I80" i="1"/>
  <c r="H80" i="1"/>
  <c r="G80" i="1"/>
  <c r="F80" i="1"/>
  <c r="E80" i="1"/>
  <c r="D80" i="1"/>
  <c r="C80" i="1"/>
  <c r="B80" i="1"/>
  <c r="L72" i="1"/>
  <c r="K72" i="1"/>
  <c r="J72" i="1"/>
  <c r="I72" i="1"/>
  <c r="H72" i="1"/>
  <c r="G72" i="1"/>
  <c r="F72" i="1"/>
  <c r="E72" i="1"/>
  <c r="D72" i="1"/>
  <c r="C72" i="1"/>
  <c r="B72" i="1"/>
  <c r="L71" i="1"/>
  <c r="K71" i="1"/>
  <c r="J71" i="1"/>
  <c r="I71" i="1"/>
  <c r="H71" i="1"/>
  <c r="G71" i="1"/>
  <c r="F71" i="1"/>
  <c r="E71" i="1"/>
  <c r="D71" i="1"/>
  <c r="C71" i="1"/>
  <c r="B71" i="1"/>
  <c r="L62" i="1"/>
  <c r="K62" i="1"/>
  <c r="J62" i="1"/>
  <c r="I62" i="1"/>
  <c r="H62" i="1"/>
  <c r="G62" i="1"/>
  <c r="F62" i="1"/>
  <c r="E62" i="1"/>
  <c r="D62" i="1"/>
  <c r="C62" i="1"/>
  <c r="B62" i="1"/>
  <c r="L61" i="1"/>
  <c r="K61" i="1"/>
  <c r="J61" i="1"/>
  <c r="I61" i="1"/>
  <c r="H61" i="1"/>
  <c r="G61" i="1"/>
  <c r="F61" i="1"/>
  <c r="E61" i="1"/>
  <c r="D61" i="1"/>
  <c r="C61" i="1"/>
  <c r="B61" i="1"/>
  <c r="L52" i="1"/>
  <c r="K52" i="1"/>
  <c r="J52" i="1"/>
  <c r="I52" i="1"/>
  <c r="H52" i="1"/>
  <c r="G52" i="1"/>
  <c r="F52" i="1"/>
  <c r="E52" i="1"/>
  <c r="D52" i="1"/>
  <c r="C52" i="1"/>
  <c r="B52" i="1"/>
  <c r="L51" i="1"/>
  <c r="K51" i="1"/>
  <c r="J51" i="1"/>
  <c r="I51" i="1"/>
  <c r="H51" i="1"/>
  <c r="G51" i="1"/>
  <c r="F51" i="1"/>
  <c r="E51" i="1"/>
  <c r="D51" i="1"/>
  <c r="C51" i="1"/>
  <c r="B51" i="1"/>
  <c r="C42" i="1"/>
  <c r="D42" i="1"/>
  <c r="E42" i="1"/>
  <c r="F42" i="1"/>
  <c r="G42" i="1"/>
  <c r="H42" i="1"/>
  <c r="I42" i="1"/>
  <c r="J42" i="1"/>
  <c r="K42" i="1"/>
  <c r="L42" i="1"/>
  <c r="C43" i="1"/>
  <c r="D43" i="1"/>
  <c r="E43" i="1"/>
  <c r="F43" i="1"/>
  <c r="G43" i="1"/>
  <c r="H43" i="1"/>
  <c r="I43" i="1"/>
  <c r="J43" i="1"/>
  <c r="K43" i="1"/>
  <c r="L43" i="1"/>
  <c r="B43" i="1"/>
  <c r="B42" i="1"/>
  <c r="C32" i="1"/>
  <c r="D32" i="1"/>
  <c r="E32" i="1"/>
  <c r="F32" i="1"/>
  <c r="G32" i="1"/>
  <c r="H32" i="1"/>
  <c r="I32" i="1"/>
  <c r="J32" i="1"/>
  <c r="K32" i="1"/>
  <c r="L32" i="1"/>
  <c r="C33" i="1"/>
  <c r="D33" i="1"/>
  <c r="E33" i="1"/>
  <c r="F33" i="1"/>
  <c r="G33" i="1"/>
  <c r="H33" i="1"/>
  <c r="I33" i="1"/>
  <c r="J33" i="1"/>
  <c r="K33" i="1"/>
  <c r="L33" i="1"/>
  <c r="B33" i="1"/>
  <c r="B32" i="1"/>
  <c r="M97" i="1"/>
  <c r="M96" i="1"/>
  <c r="M95" i="1"/>
  <c r="M94" i="1"/>
  <c r="M93" i="1"/>
  <c r="M88" i="1"/>
  <c r="M87" i="1"/>
  <c r="M86" i="1"/>
  <c r="M85" i="1"/>
  <c r="M84" i="1"/>
  <c r="M79" i="1"/>
  <c r="M78" i="1"/>
  <c r="M77" i="1"/>
  <c r="M76" i="1"/>
  <c r="M75" i="1"/>
  <c r="M70" i="1"/>
  <c r="M69" i="1"/>
  <c r="M68" i="1"/>
  <c r="M67" i="1"/>
  <c r="M66" i="1"/>
  <c r="M65" i="1"/>
  <c r="M47" i="1"/>
  <c r="M48" i="1"/>
  <c r="M49" i="1"/>
  <c r="M50" i="1"/>
  <c r="M46" i="1"/>
  <c r="M56" i="1"/>
  <c r="M57" i="1"/>
  <c r="M58" i="1"/>
  <c r="M59" i="1"/>
  <c r="M60" i="1"/>
  <c r="M55" i="1"/>
  <c r="M189" i="1" l="1"/>
  <c r="M284" i="1"/>
  <c r="M283" i="1"/>
  <c r="L19" i="4"/>
  <c r="M19" i="4" s="1"/>
  <c r="L10" i="4"/>
  <c r="M10" i="4" s="1"/>
  <c r="L18" i="4"/>
  <c r="M18" i="4" s="1"/>
  <c r="L23" i="4"/>
  <c r="M23" i="4" s="1"/>
  <c r="L29" i="4"/>
  <c r="M29" i="4" s="1"/>
  <c r="L20" i="4"/>
  <c r="M20" i="4" s="1"/>
  <c r="L25" i="4"/>
  <c r="M25" i="4" s="1"/>
  <c r="L14" i="4"/>
  <c r="M14" i="4" s="1"/>
  <c r="L16" i="4"/>
  <c r="M16" i="4" s="1"/>
  <c r="L5" i="4"/>
  <c r="M5" i="4" s="1"/>
  <c r="L13" i="4"/>
  <c r="M13" i="4" s="1"/>
  <c r="L17" i="4"/>
  <c r="M17" i="4" s="1"/>
  <c r="L9" i="4"/>
  <c r="M9" i="4" s="1"/>
  <c r="L8" i="4"/>
  <c r="M8" i="4" s="1"/>
  <c r="L28" i="4"/>
  <c r="M28" i="4" s="1"/>
  <c r="L31" i="4"/>
  <c r="M31" i="4" s="1"/>
  <c r="L6" i="4"/>
  <c r="M6" i="4" s="1"/>
  <c r="L27" i="4"/>
  <c r="M27" i="4" s="1"/>
  <c r="L30" i="4"/>
  <c r="M30" i="4" s="1"/>
  <c r="L15" i="4"/>
  <c r="M15" i="4" s="1"/>
  <c r="L7" i="4"/>
  <c r="M7" i="4" s="1"/>
  <c r="L26" i="4"/>
  <c r="M26" i="4" s="1"/>
  <c r="L12" i="4"/>
  <c r="M12" i="4" s="1"/>
  <c r="L24" i="4"/>
  <c r="M24" i="4" s="1"/>
  <c r="L11" i="4"/>
  <c r="M11" i="4" s="1"/>
  <c r="M218" i="1"/>
  <c r="M257" i="1"/>
  <c r="M99" i="1"/>
  <c r="M238" i="1"/>
  <c r="M81" i="1"/>
  <c r="M52" i="1"/>
  <c r="M109" i="1"/>
  <c r="M175" i="1"/>
  <c r="M294" i="1"/>
  <c r="M118" i="1"/>
  <c r="M72" i="1"/>
  <c r="M62" i="1"/>
  <c r="M90" i="1"/>
  <c r="M165" i="1"/>
  <c r="M119" i="1"/>
  <c r="M164" i="1"/>
  <c r="M200" i="1"/>
  <c r="M228" i="1"/>
  <c r="M267" i="1"/>
  <c r="M129" i="1"/>
  <c r="M209" i="1"/>
  <c r="M248" i="1"/>
  <c r="M139" i="1"/>
  <c r="M217" i="1"/>
  <c r="M199" i="1"/>
  <c r="M108" i="1"/>
  <c r="M128" i="1"/>
  <c r="M174" i="1"/>
  <c r="M266" i="1"/>
  <c r="M293" i="1"/>
  <c r="M247" i="1"/>
  <c r="M51" i="1"/>
  <c r="M61" i="1"/>
  <c r="M71" i="1"/>
  <c r="M80" i="1"/>
  <c r="M89" i="1"/>
  <c r="M98" i="1"/>
  <c r="M227" i="1"/>
  <c r="M208" i="1"/>
  <c r="M138" i="1"/>
  <c r="M256" i="1"/>
  <c r="M237" i="1"/>
  <c r="O3" i="4"/>
  <c r="P8" i="4" s="1"/>
  <c r="Q8" i="4" s="1"/>
  <c r="L4" i="4"/>
  <c r="M4" i="4" s="1"/>
  <c r="M39" i="1"/>
  <c r="M40" i="1"/>
  <c r="M41" i="1"/>
  <c r="M38" i="1"/>
  <c r="M37" i="1"/>
  <c r="M36" i="1"/>
  <c r="M29" i="1"/>
  <c r="M28" i="1"/>
  <c r="M27" i="1"/>
  <c r="M16" i="1"/>
  <c r="M17" i="1"/>
  <c r="M15" i="1"/>
  <c r="M14" i="1"/>
  <c r="M13" i="1"/>
  <c r="M12" i="1"/>
  <c r="M11" i="1"/>
  <c r="M3" i="1"/>
  <c r="M4" i="1"/>
  <c r="M5" i="1"/>
  <c r="M6" i="1"/>
  <c r="M2" i="1"/>
  <c r="B24" i="1"/>
  <c r="C7" i="1"/>
  <c r="D7" i="1"/>
  <c r="E7" i="1"/>
  <c r="F7" i="1"/>
  <c r="G7" i="1"/>
  <c r="H7" i="1"/>
  <c r="I7" i="1"/>
  <c r="J7" i="1"/>
  <c r="K7" i="1"/>
  <c r="L7" i="1"/>
  <c r="C8" i="1"/>
  <c r="D8" i="1"/>
  <c r="E8" i="1"/>
  <c r="F8" i="1"/>
  <c r="G8" i="1"/>
  <c r="H8" i="1"/>
  <c r="I8" i="1"/>
  <c r="J8" i="1"/>
  <c r="K8" i="1"/>
  <c r="L8" i="1"/>
  <c r="B8" i="1"/>
  <c r="B7" i="1"/>
  <c r="M23" i="1" l="1"/>
  <c r="M24" i="1"/>
  <c r="P30" i="4"/>
  <c r="Q30" i="4" s="1"/>
  <c r="P29" i="4"/>
  <c r="Q29" i="4" s="1"/>
  <c r="P18" i="4"/>
  <c r="Q18" i="4" s="1"/>
  <c r="P10" i="4"/>
  <c r="Q10" i="4" s="1"/>
  <c r="P26" i="4"/>
  <c r="Q26" i="4" s="1"/>
  <c r="P15" i="4"/>
  <c r="Q15" i="4" s="1"/>
  <c r="P7" i="4"/>
  <c r="Q7" i="4" s="1"/>
  <c r="P23" i="4"/>
  <c r="Q23" i="4" s="1"/>
  <c r="P19" i="4"/>
  <c r="Q19" i="4" s="1"/>
  <c r="P17" i="4"/>
  <c r="Q17" i="4" s="1"/>
  <c r="P11" i="4"/>
  <c r="Q11" i="4" s="1"/>
  <c r="P27" i="4"/>
  <c r="Q27" i="4" s="1"/>
  <c r="P24" i="4"/>
  <c r="Q24" i="4" s="1"/>
  <c r="P31" i="4"/>
  <c r="Q31" i="4" s="1"/>
  <c r="P20" i="4"/>
  <c r="Q20" i="4" s="1"/>
  <c r="P9" i="4"/>
  <c r="Q9" i="4" s="1"/>
  <c r="P12" i="4"/>
  <c r="Q12" i="4" s="1"/>
  <c r="P5" i="4"/>
  <c r="Q5" i="4" s="1"/>
  <c r="P14" i="4"/>
  <c r="Q14" i="4" s="1"/>
  <c r="P6" i="4"/>
  <c r="P13" i="4"/>
  <c r="Q13" i="4" s="1"/>
  <c r="P16" i="4"/>
  <c r="Q16" i="4" s="1"/>
  <c r="P25" i="4"/>
  <c r="Q25" i="4" s="1"/>
  <c r="P28" i="4"/>
  <c r="Q28" i="4" s="1"/>
  <c r="M43" i="1"/>
  <c r="M42" i="1"/>
  <c r="P3" i="4"/>
  <c r="Q3" i="4" s="1"/>
  <c r="P4" i="4"/>
  <c r="Q4" i="4" s="1"/>
  <c r="L3" i="4"/>
  <c r="M3" i="4" s="1"/>
  <c r="P2" i="4"/>
  <c r="Q2" i="4" s="1"/>
  <c r="M7" i="1"/>
  <c r="M31" i="1"/>
  <c r="M8" i="1"/>
  <c r="M30" i="1"/>
  <c r="M33" i="1" s="1"/>
  <c r="L2" i="4"/>
  <c r="M2" i="4" s="1"/>
  <c r="M3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FF2B0F-8A4F-42AF-9FB2-8886D935E012}" keepAlive="1" name="Query - batch_stats" description="Connection to the 'batch_stats' query in the workbook." type="5" refreshedVersion="6" background="1">
    <dbPr connection="Provider=Microsoft.Mashup.OleDb.1;Data Source=$Workbook$;Location=batch_stats;Extended Properties=&quot;&quot;" command="SELECT * FROM [batch_stats]"/>
  </connection>
</connections>
</file>

<file path=xl/sharedStrings.xml><?xml version="1.0" encoding="utf-8"?>
<sst xmlns="http://schemas.openxmlformats.org/spreadsheetml/2006/main" count="722" uniqueCount="122">
  <si>
    <t>Num_Granules</t>
  </si>
  <si>
    <t>Total_Area</t>
  </si>
  <si>
    <t>Mean_Area</t>
  </si>
  <si>
    <t>Area_STDEV</t>
  </si>
  <si>
    <t>Area_SEM</t>
  </si>
  <si>
    <t>Num_Nuclei</t>
  </si>
  <si>
    <t>Num_GranulesNF</t>
  </si>
  <si>
    <t>TotalAreaNF</t>
  </si>
  <si>
    <t>Mean_AreaNF</t>
  </si>
  <si>
    <t>Area_StDevNF</t>
  </si>
  <si>
    <t>Area_SEMNF</t>
  </si>
  <si>
    <t>014.tif</t>
  </si>
  <si>
    <t>015.tif</t>
  </si>
  <si>
    <t>016.tif</t>
  </si>
  <si>
    <t>017.tif</t>
  </si>
  <si>
    <t>039.tif</t>
  </si>
  <si>
    <t>040.tif</t>
  </si>
  <si>
    <t>041.tif</t>
  </si>
  <si>
    <t>029.tif</t>
  </si>
  <si>
    <t>030.tif</t>
  </si>
  <si>
    <t>031.tif</t>
  </si>
  <si>
    <t>046.tif</t>
  </si>
  <si>
    <t>047.tif</t>
  </si>
  <si>
    <t>NC-1 (unstressed)</t>
  </si>
  <si>
    <t>NC-1 (stressed)</t>
  </si>
  <si>
    <t>026.tif</t>
  </si>
  <si>
    <t>027.tif</t>
  </si>
  <si>
    <t>028.tif</t>
  </si>
  <si>
    <t>010.tif</t>
  </si>
  <si>
    <t>011.tif</t>
  </si>
  <si>
    <t>012.tif</t>
  </si>
  <si>
    <t>036.tif</t>
  </si>
  <si>
    <t>037.tif</t>
  </si>
  <si>
    <t>038.tif</t>
  </si>
  <si>
    <t>023.tif</t>
  </si>
  <si>
    <t>024.tif</t>
  </si>
  <si>
    <t>006.tif</t>
  </si>
  <si>
    <t>007.tif</t>
  </si>
  <si>
    <t>008.tif</t>
  </si>
  <si>
    <t>009.tif</t>
  </si>
  <si>
    <t>033.tif</t>
  </si>
  <si>
    <t>034.tif</t>
  </si>
  <si>
    <t>035.tif</t>
  </si>
  <si>
    <t>019.tif</t>
  </si>
  <si>
    <t>020.tif</t>
  </si>
  <si>
    <t>021.tif</t>
  </si>
  <si>
    <t>022.tif</t>
  </si>
  <si>
    <t>002.tif</t>
  </si>
  <si>
    <t>003.tif</t>
  </si>
  <si>
    <t>005.tif</t>
  </si>
  <si>
    <t>013.tif</t>
  </si>
  <si>
    <t>average</t>
  </si>
  <si>
    <t>stdev</t>
  </si>
  <si>
    <t>Granules Per Cell</t>
  </si>
  <si>
    <t>shRNA Treatment</t>
  </si>
  <si>
    <t>Stdev Granules Per Cell</t>
  </si>
  <si>
    <t>Stdev Granule Area</t>
  </si>
  <si>
    <t>Granule Area</t>
  </si>
  <si>
    <t>s^2/n Granules Per Cell</t>
  </si>
  <si>
    <t>t-test Granules Per Cell</t>
  </si>
  <si>
    <t>compared to NC-1 stressed</t>
  </si>
  <si>
    <t>p-value</t>
  </si>
  <si>
    <t>n (Nuclei)</t>
  </si>
  <si>
    <t>compared to stressed</t>
  </si>
  <si>
    <t>n (Granules)</t>
  </si>
  <si>
    <t>s^2/n Granule Area</t>
  </si>
  <si>
    <t>t-test Granule Area</t>
  </si>
  <si>
    <t>004.tif</t>
  </si>
  <si>
    <t>042.tif</t>
  </si>
  <si>
    <t>043.tif</t>
  </si>
  <si>
    <t>NC-1</t>
  </si>
  <si>
    <t>DDX1 (stressed)</t>
  </si>
  <si>
    <t>DDX3X (stressed)</t>
  </si>
  <si>
    <t>DDX5 (stressed)</t>
  </si>
  <si>
    <t>DDX6 (stressed)</t>
  </si>
  <si>
    <t>025.tif</t>
  </si>
  <si>
    <t>DHX9 (stressed)</t>
  </si>
  <si>
    <t>032.tif</t>
  </si>
  <si>
    <t>DDX20 (stressed)</t>
  </si>
  <si>
    <t>DHX36 (stressed)</t>
  </si>
  <si>
    <t>044.tif</t>
  </si>
  <si>
    <t>045.tif</t>
  </si>
  <si>
    <t>FUS13.3 (stressed)</t>
  </si>
  <si>
    <t>Granules per Cells SEM</t>
  </si>
  <si>
    <t>Granule Area SEM</t>
  </si>
  <si>
    <t>DDX1</t>
  </si>
  <si>
    <t>DDX3X</t>
  </si>
  <si>
    <t>DDX5</t>
  </si>
  <si>
    <t>DDX6</t>
  </si>
  <si>
    <t>DHX9</t>
  </si>
  <si>
    <t>DDX20</t>
  </si>
  <si>
    <t>DHX36</t>
  </si>
  <si>
    <t>FUS</t>
  </si>
  <si>
    <t>DDX39a</t>
  </si>
  <si>
    <t>TDP-43</t>
  </si>
  <si>
    <t>TAF15</t>
  </si>
  <si>
    <t>TIA1</t>
  </si>
  <si>
    <t>EWSR1</t>
  </si>
  <si>
    <t>hnRNPA1</t>
  </si>
  <si>
    <t>Matrin-3</t>
  </si>
  <si>
    <t>Gemin 4</t>
  </si>
  <si>
    <t>Gemin 6</t>
  </si>
  <si>
    <t>FMRP</t>
  </si>
  <si>
    <t>TNPO1</t>
  </si>
  <si>
    <t>Caprin1</t>
  </si>
  <si>
    <t>Atxn2</t>
  </si>
  <si>
    <t>G3BP1</t>
  </si>
  <si>
    <t>HSBP1</t>
  </si>
  <si>
    <t>ILF2</t>
  </si>
  <si>
    <t>SFPQ</t>
  </si>
  <si>
    <t>SARNP</t>
  </si>
  <si>
    <t>Filename</t>
  </si>
  <si>
    <t>018.tif</t>
  </si>
  <si>
    <t>001.tif</t>
  </si>
  <si>
    <t>Gemin6</t>
  </si>
  <si>
    <t>Gemin4</t>
  </si>
  <si>
    <t>PARP1</t>
  </si>
  <si>
    <t>PARP5a</t>
  </si>
  <si>
    <t>count</t>
  </si>
  <si>
    <t>average area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</si>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</sst>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40FF"/>
      <color rgb="FF66FF66"/>
      <color rgb="FFFF99CC"/>
      <color rgb="FF008F00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85000"/>
              </a:schemeClr>
            </a:solidFill>
            <a:ln w="12700">
              <a:solidFill>
                <a:sysClr val="windowText" lastClr="000000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66CCFF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0E0-4908-81C8-808EBFD1F620}"/>
              </c:ext>
            </c:extLst>
          </c:dPt>
          <c:dPt>
            <c:idx val="2"/>
            <c:invertIfNegative val="0"/>
            <c:bubble3D val="0"/>
            <c:spPr>
              <a:solidFill>
                <a:srgbClr val="66CCFF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0E0-4908-81C8-808EBFD1F620}"/>
              </c:ext>
            </c:extLst>
          </c:dPt>
          <c:dPt>
            <c:idx val="3"/>
            <c:invertIfNegative val="0"/>
            <c:bubble3D val="0"/>
            <c:spPr>
              <a:solidFill>
                <a:srgbClr val="66CCFF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0E0-4908-81C8-808EBFD1F620}"/>
              </c:ext>
            </c:extLst>
          </c:dPt>
          <c:dPt>
            <c:idx val="4"/>
            <c:invertIfNegative val="0"/>
            <c:bubble3D val="0"/>
            <c:spPr>
              <a:solidFill>
                <a:srgbClr val="66CCFF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0E0-4908-81C8-808EBFD1F620}"/>
              </c:ext>
            </c:extLst>
          </c:dPt>
          <c:dPt>
            <c:idx val="5"/>
            <c:invertIfNegative val="0"/>
            <c:bubble3D val="0"/>
            <c:spPr>
              <a:solidFill>
                <a:srgbClr val="66CCFF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E0-4908-81C8-808EBFD1F620}"/>
              </c:ext>
            </c:extLst>
          </c:dPt>
          <c:dPt>
            <c:idx val="6"/>
            <c:invertIfNegative val="0"/>
            <c:bubble3D val="0"/>
            <c:spPr>
              <a:solidFill>
                <a:srgbClr val="66CCFF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0E0-4908-81C8-808EBFD1F620}"/>
              </c:ext>
            </c:extLst>
          </c:dPt>
          <c:dPt>
            <c:idx val="7"/>
            <c:invertIfNegative val="0"/>
            <c:bubble3D val="0"/>
            <c:spPr>
              <a:solidFill>
                <a:srgbClr val="66CCFF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E0-4908-81C8-808EBFD1F620}"/>
              </c:ext>
            </c:extLst>
          </c:dPt>
          <c:dPt>
            <c:idx val="8"/>
            <c:invertIfNegative val="0"/>
            <c:bubble3D val="0"/>
            <c:spPr>
              <a:solidFill>
                <a:srgbClr val="66FF66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10E0-4908-81C8-808EBFD1F620}"/>
              </c:ext>
            </c:extLst>
          </c:dPt>
          <c:dPt>
            <c:idx val="9"/>
            <c:invertIfNegative val="0"/>
            <c:bubble3D val="0"/>
            <c:spPr>
              <a:solidFill>
                <a:srgbClr val="66FF66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0E0-4908-81C8-808EBFD1F620}"/>
              </c:ext>
            </c:extLst>
          </c:dPt>
          <c:dPt>
            <c:idx val="10"/>
            <c:invertIfNegative val="0"/>
            <c:bubble3D val="0"/>
            <c:spPr>
              <a:solidFill>
                <a:srgbClr val="66FF66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E64-46FD-A321-E6B2631BC0F5}"/>
              </c:ext>
            </c:extLst>
          </c:dPt>
          <c:dPt>
            <c:idx val="11"/>
            <c:invertIfNegative val="0"/>
            <c:bubble3D val="0"/>
            <c:spPr>
              <a:solidFill>
                <a:srgbClr val="66FF66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10E0-4908-81C8-808EBFD1F620}"/>
              </c:ext>
            </c:extLst>
          </c:dPt>
          <c:dPt>
            <c:idx val="12"/>
            <c:invertIfNegative val="0"/>
            <c:bubble3D val="0"/>
            <c:spPr>
              <a:solidFill>
                <a:srgbClr val="66FF66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0E0-4908-81C8-808EBFD1F620}"/>
              </c:ext>
            </c:extLst>
          </c:dPt>
          <c:dPt>
            <c:idx val="13"/>
            <c:invertIfNegative val="0"/>
            <c:bubble3D val="0"/>
            <c:spPr>
              <a:solidFill>
                <a:srgbClr val="66FF66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10E0-4908-81C8-808EBFD1F620}"/>
              </c:ext>
            </c:extLst>
          </c:dPt>
          <c:dPt>
            <c:idx val="14"/>
            <c:invertIfNegative val="0"/>
            <c:bubble3D val="0"/>
            <c:spPr>
              <a:solidFill>
                <a:srgbClr val="66FF66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0E0-4908-81C8-808EBFD1F620}"/>
              </c:ext>
            </c:extLst>
          </c:dPt>
          <c:dPt>
            <c:idx val="15"/>
            <c:invertIfNegative val="0"/>
            <c:bubble3D val="0"/>
            <c:spPr>
              <a:solidFill>
                <a:srgbClr val="66FF66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10E0-4908-81C8-808EBFD1F620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0E0-4908-81C8-808EBFD1F620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0E0-4908-81C8-808EBFD1F620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0E0-4908-81C8-808EBFD1F620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10E0-4908-81C8-808EBFD1F620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0E0-4908-81C8-808EBFD1F620}"/>
              </c:ext>
            </c:extLst>
          </c:dPt>
          <c:dPt>
            <c:idx val="21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10E0-4908-81C8-808EBFD1F620}"/>
              </c:ext>
            </c:extLst>
          </c:dPt>
          <c:dPt>
            <c:idx val="22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0E0-4908-81C8-808EBFD1F620}"/>
              </c:ext>
            </c:extLst>
          </c:dPt>
          <c:dPt>
            <c:idx val="23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10E0-4908-81C8-808EBFD1F620}"/>
              </c:ext>
            </c:extLst>
          </c:dPt>
          <c:dPt>
            <c:idx val="24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0E0-4908-81C8-808EBFD1F620}"/>
              </c:ext>
            </c:extLst>
          </c:dPt>
          <c:dPt>
            <c:idx val="25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10E0-4908-81C8-808EBFD1F620}"/>
              </c:ext>
            </c:extLst>
          </c:dPt>
          <c:dPt>
            <c:idx val="26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5E64-46FD-A321-E6B2631BC0F5}"/>
              </c:ext>
            </c:extLst>
          </c:dPt>
          <c:errBars>
            <c:errBarType val="plus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'Compiled Data'!$H$3:$H$31</c15:sqref>
                    </c15:fullRef>
                  </c:ext>
                </c:extLst>
                <c:f>('Compiled Data'!$H$3:$H$20,'Compiled Data'!$H$23:$H$31)</c:f>
                <c:numCache>
                  <c:formatCode>General</c:formatCode>
                  <c:ptCount val="27"/>
                  <c:pt idx="0">
                    <c:v>9.0114442882637202E-2</c:v>
                  </c:pt>
                  <c:pt idx="1">
                    <c:v>4.3905587244174114E-2</c:v>
                  </c:pt>
                  <c:pt idx="2">
                    <c:v>0.18023389403707235</c:v>
                  </c:pt>
                  <c:pt idx="3">
                    <c:v>0.18453643153448032</c:v>
                  </c:pt>
                  <c:pt idx="4">
                    <c:v>0.22002105432609034</c:v>
                  </c:pt>
                  <c:pt idx="5">
                    <c:v>0.21189395172870207</c:v>
                  </c:pt>
                  <c:pt idx="6">
                    <c:v>9.587306501193707E-2</c:v>
                  </c:pt>
                  <c:pt idx="7">
                    <c:v>0.10857139020481281</c:v>
                  </c:pt>
                  <c:pt idx="8">
                    <c:v>0.1863463443664671</c:v>
                  </c:pt>
                  <c:pt idx="9">
                    <c:v>0.21413640280467336</c:v>
                  </c:pt>
                  <c:pt idx="10">
                    <c:v>2.4412093733807993E-2</c:v>
                  </c:pt>
                  <c:pt idx="11">
                    <c:v>4.0434741270780575E-2</c:v>
                  </c:pt>
                  <c:pt idx="12">
                    <c:v>0.14149314694787812</c:v>
                  </c:pt>
                  <c:pt idx="13">
                    <c:v>6.6920188028708555E-2</c:v>
                  </c:pt>
                  <c:pt idx="14">
                    <c:v>2.739949406832989E-2</c:v>
                  </c:pt>
                  <c:pt idx="15">
                    <c:v>8.5415463311248468E-2</c:v>
                  </c:pt>
                  <c:pt idx="16">
                    <c:v>9.6371566594831148E-2</c:v>
                  </c:pt>
                  <c:pt idx="17">
                    <c:v>0.11189550433357713</c:v>
                  </c:pt>
                  <c:pt idx="18">
                    <c:v>0.13120312722648164</c:v>
                  </c:pt>
                  <c:pt idx="19">
                    <c:v>0.14214026657788678</c:v>
                  </c:pt>
                  <c:pt idx="20">
                    <c:v>0.13025159215067189</c:v>
                  </c:pt>
                  <c:pt idx="21">
                    <c:v>0.10709797860085196</c:v>
                  </c:pt>
                  <c:pt idx="22">
                    <c:v>0.15301563684943262</c:v>
                  </c:pt>
                  <c:pt idx="23">
                    <c:v>0.11626284625670022</c:v>
                  </c:pt>
                  <c:pt idx="24">
                    <c:v>7.4268684105358265E-2</c:v>
                  </c:pt>
                  <c:pt idx="25">
                    <c:v>0.10353274120423409</c:v>
                  </c:pt>
                  <c:pt idx="26">
                    <c:v>9.2706781440749328E-2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'Compiled Data'!$H$3:$H$31</c15:sqref>
                    </c15:fullRef>
                  </c:ext>
                </c:extLst>
                <c:f>('Compiled Data'!$H$3:$H$20,'Compiled Data'!$H$23:$H$31)</c:f>
                <c:numCache>
                  <c:formatCode>General</c:formatCode>
                  <c:ptCount val="27"/>
                  <c:pt idx="0">
                    <c:v>9.0114442882637202E-2</c:v>
                  </c:pt>
                  <c:pt idx="1">
                    <c:v>4.3905587244174114E-2</c:v>
                  </c:pt>
                  <c:pt idx="2">
                    <c:v>0.18023389403707235</c:v>
                  </c:pt>
                  <c:pt idx="3">
                    <c:v>0.18453643153448032</c:v>
                  </c:pt>
                  <c:pt idx="4">
                    <c:v>0.22002105432609034</c:v>
                  </c:pt>
                  <c:pt idx="5">
                    <c:v>0.21189395172870207</c:v>
                  </c:pt>
                  <c:pt idx="6">
                    <c:v>9.587306501193707E-2</c:v>
                  </c:pt>
                  <c:pt idx="7">
                    <c:v>0.10857139020481281</c:v>
                  </c:pt>
                  <c:pt idx="8">
                    <c:v>0.1863463443664671</c:v>
                  </c:pt>
                  <c:pt idx="9">
                    <c:v>0.21413640280467336</c:v>
                  </c:pt>
                  <c:pt idx="10">
                    <c:v>2.4412093733807993E-2</c:v>
                  </c:pt>
                  <c:pt idx="11">
                    <c:v>4.0434741270780575E-2</c:v>
                  </c:pt>
                  <c:pt idx="12">
                    <c:v>0.14149314694787812</c:v>
                  </c:pt>
                  <c:pt idx="13">
                    <c:v>6.6920188028708555E-2</c:v>
                  </c:pt>
                  <c:pt idx="14">
                    <c:v>2.739949406832989E-2</c:v>
                  </c:pt>
                  <c:pt idx="15">
                    <c:v>8.5415463311248468E-2</c:v>
                  </c:pt>
                  <c:pt idx="16">
                    <c:v>9.6371566594831148E-2</c:v>
                  </c:pt>
                  <c:pt idx="17">
                    <c:v>0.11189550433357713</c:v>
                  </c:pt>
                  <c:pt idx="18">
                    <c:v>0.13120312722648164</c:v>
                  </c:pt>
                  <c:pt idx="19">
                    <c:v>0.14214026657788678</c:v>
                  </c:pt>
                  <c:pt idx="20">
                    <c:v>0.13025159215067189</c:v>
                  </c:pt>
                  <c:pt idx="21">
                    <c:v>0.10709797860085196</c:v>
                  </c:pt>
                  <c:pt idx="22">
                    <c:v>0.15301563684943262</c:v>
                  </c:pt>
                  <c:pt idx="23">
                    <c:v>0.11626284625670022</c:v>
                  </c:pt>
                  <c:pt idx="24">
                    <c:v>7.4268684105358265E-2</c:v>
                  </c:pt>
                  <c:pt idx="25">
                    <c:v>0.10353274120423409</c:v>
                  </c:pt>
                  <c:pt idx="26">
                    <c:v>9.2706781440749328E-2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'Compiled Data'!$A$3:$A$31</c15:sqref>
                  </c15:fullRef>
                </c:ext>
              </c:extLst>
              <c:f>('Compiled Data'!$A$3:$A$20,'Compiled Data'!$A$23:$A$31)</c:f>
              <c:strCache>
                <c:ptCount val="27"/>
                <c:pt idx="0">
                  <c:v>NC-1</c:v>
                </c:pt>
                <c:pt idx="1">
                  <c:v>FUS</c:v>
                </c:pt>
                <c:pt idx="2">
                  <c:v>TDP-43</c:v>
                </c:pt>
                <c:pt idx="3">
                  <c:v>TIA1</c:v>
                </c:pt>
                <c:pt idx="4">
                  <c:v>TAF15</c:v>
                </c:pt>
                <c:pt idx="5">
                  <c:v>EWSR1</c:v>
                </c:pt>
                <c:pt idx="6">
                  <c:v>hnRNPA1</c:v>
                </c:pt>
                <c:pt idx="7">
                  <c:v>Matrin-3</c:v>
                </c:pt>
                <c:pt idx="8">
                  <c:v>DDX1</c:v>
                </c:pt>
                <c:pt idx="9">
                  <c:v>DDX3X</c:v>
                </c:pt>
                <c:pt idx="10">
                  <c:v>DDX5</c:v>
                </c:pt>
                <c:pt idx="11">
                  <c:v>DDX6</c:v>
                </c:pt>
                <c:pt idx="12">
                  <c:v>DHX9</c:v>
                </c:pt>
                <c:pt idx="13">
                  <c:v>DDX20</c:v>
                </c:pt>
                <c:pt idx="14">
                  <c:v>DHX36</c:v>
                </c:pt>
                <c:pt idx="15">
                  <c:v>DDX39a</c:v>
                </c:pt>
                <c:pt idx="16">
                  <c:v>Gemin 4</c:v>
                </c:pt>
                <c:pt idx="17">
                  <c:v>Gemin 6</c:v>
                </c:pt>
                <c:pt idx="18">
                  <c:v>FMRP</c:v>
                </c:pt>
                <c:pt idx="19">
                  <c:v>TNPO1</c:v>
                </c:pt>
                <c:pt idx="20">
                  <c:v>Caprin1</c:v>
                </c:pt>
                <c:pt idx="21">
                  <c:v>Atxn2</c:v>
                </c:pt>
                <c:pt idx="22">
                  <c:v>G3BP1</c:v>
                </c:pt>
                <c:pt idx="23">
                  <c:v>HSBP1</c:v>
                </c:pt>
                <c:pt idx="24">
                  <c:v>ILF2</c:v>
                </c:pt>
                <c:pt idx="25">
                  <c:v>SFPQ</c:v>
                </c:pt>
                <c:pt idx="26">
                  <c:v>SARNP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'Compiled Data'!$B$3:$B$31</c15:sqref>
                  </c15:fullRef>
                </c:ext>
              </c:extLst>
              <c:f>('Compiled Data'!$B$3:$B$20,'Compiled Data'!$B$23:$B$31)</c:f>
              <c:numCache>
                <c:formatCode>General</c:formatCode>
                <c:ptCount val="27"/>
                <c:pt idx="0">
                  <c:v>1.7385431697931697</c:v>
                </c:pt>
                <c:pt idx="1">
                  <c:v>0.45305194805194809</c:v>
                </c:pt>
                <c:pt idx="2">
                  <c:v>2.38904761904762</c:v>
                </c:pt>
                <c:pt idx="3">
                  <c:v>2.2478956228956228</c:v>
                </c:pt>
                <c:pt idx="4">
                  <c:v>2.1922619047619043</c:v>
                </c:pt>
                <c:pt idx="5">
                  <c:v>1.2036507936507936</c:v>
                </c:pt>
                <c:pt idx="6">
                  <c:v>2.8088383838383839</c:v>
                </c:pt>
                <c:pt idx="7">
                  <c:v>2.6891369047619</c:v>
                </c:pt>
                <c:pt idx="8">
                  <c:v>2.548510422830133</c:v>
                </c:pt>
                <c:pt idx="9">
                  <c:v>2.1850649350649349</c:v>
                </c:pt>
                <c:pt idx="10">
                  <c:v>1.505050505050505</c:v>
                </c:pt>
                <c:pt idx="11">
                  <c:v>0.77777777777777779</c:v>
                </c:pt>
                <c:pt idx="12">
                  <c:v>2.3722222222222222</c:v>
                </c:pt>
                <c:pt idx="13">
                  <c:v>2.4063492063492062</c:v>
                </c:pt>
                <c:pt idx="14">
                  <c:v>0.82684766214177974</c:v>
                </c:pt>
                <c:pt idx="15">
                  <c:v>2.1345899470899501</c:v>
                </c:pt>
                <c:pt idx="16">
                  <c:v>1.8449494949494951</c:v>
                </c:pt>
                <c:pt idx="17">
                  <c:v>2.1766330891330887</c:v>
                </c:pt>
                <c:pt idx="18">
                  <c:v>1.9292328042328044</c:v>
                </c:pt>
                <c:pt idx="19">
                  <c:v>3.285353535353535</c:v>
                </c:pt>
                <c:pt idx="20">
                  <c:v>1.9602564102564102</c:v>
                </c:pt>
                <c:pt idx="21">
                  <c:v>1.5119658119658119</c:v>
                </c:pt>
                <c:pt idx="22">
                  <c:v>2.48924630924631</c:v>
                </c:pt>
                <c:pt idx="23">
                  <c:v>2.4480820105820107</c:v>
                </c:pt>
                <c:pt idx="24">
                  <c:v>1.9365329115329113</c:v>
                </c:pt>
                <c:pt idx="25">
                  <c:v>2.1734672190554543</c:v>
                </c:pt>
                <c:pt idx="26">
                  <c:v>2.1259259259259262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'Compiled Data'!$B$21</c15:sqref>
                  <c15:spPr xmlns:c15="http://schemas.microsoft.com/office/drawing/2012/chart">
                    <a:solidFill>
                      <a:srgbClr val="FFFF00"/>
                    </a:solidFill>
                    <a:ln w="12700">
                      <a:solidFill>
                        <a:sysClr val="windowText" lastClr="000000"/>
                      </a:solidFill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'Compiled Data'!$B$22</c15:sqref>
                  <c15:spPr xmlns:c15="http://schemas.microsoft.com/office/drawing/2012/chart">
                    <a:solidFill>
                      <a:srgbClr val="FFFF00"/>
                    </a:solidFill>
                    <a:ln w="12700">
                      <a:solidFill>
                        <a:sysClr val="windowText" lastClr="000000"/>
                      </a:solidFill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9D21-43EB-B732-09E04A0EF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444133471"/>
        <c:axId val="444134303"/>
      </c:barChart>
      <c:catAx>
        <c:axId val="44413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4134303"/>
        <c:crosses val="autoZero"/>
        <c:auto val="1"/>
        <c:lblAlgn val="ctr"/>
        <c:lblOffset val="100"/>
        <c:noMultiLvlLbl val="0"/>
      </c:catAx>
      <c:valAx>
        <c:axId val="4441343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Granules per Cell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4133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85000"/>
              </a:schemeClr>
            </a:solidFill>
            <a:ln w="12700">
              <a:solidFill>
                <a:sysClr val="windowText" lastClr="000000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66CCFF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5B-464A-AFB4-E26DC7F60470}"/>
              </c:ext>
            </c:extLst>
          </c:dPt>
          <c:dPt>
            <c:idx val="2"/>
            <c:invertIfNegative val="0"/>
            <c:bubble3D val="0"/>
            <c:spPr>
              <a:solidFill>
                <a:srgbClr val="66CCFF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45B-464A-AFB4-E26DC7F60470}"/>
              </c:ext>
            </c:extLst>
          </c:dPt>
          <c:dPt>
            <c:idx val="3"/>
            <c:invertIfNegative val="0"/>
            <c:bubble3D val="0"/>
            <c:spPr>
              <a:solidFill>
                <a:srgbClr val="66CCFF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5B-464A-AFB4-E26DC7F60470}"/>
              </c:ext>
            </c:extLst>
          </c:dPt>
          <c:dPt>
            <c:idx val="4"/>
            <c:invertIfNegative val="0"/>
            <c:bubble3D val="0"/>
            <c:spPr>
              <a:solidFill>
                <a:srgbClr val="66CCFF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45B-464A-AFB4-E26DC7F60470}"/>
              </c:ext>
            </c:extLst>
          </c:dPt>
          <c:dPt>
            <c:idx val="5"/>
            <c:invertIfNegative val="0"/>
            <c:bubble3D val="0"/>
            <c:spPr>
              <a:solidFill>
                <a:srgbClr val="66CCFF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45B-464A-AFB4-E26DC7F60470}"/>
              </c:ext>
            </c:extLst>
          </c:dPt>
          <c:dPt>
            <c:idx val="6"/>
            <c:invertIfNegative val="0"/>
            <c:bubble3D val="0"/>
            <c:spPr>
              <a:solidFill>
                <a:srgbClr val="66CCFF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45B-464A-AFB4-E26DC7F60470}"/>
              </c:ext>
            </c:extLst>
          </c:dPt>
          <c:dPt>
            <c:idx val="7"/>
            <c:invertIfNegative val="0"/>
            <c:bubble3D val="0"/>
            <c:spPr>
              <a:solidFill>
                <a:srgbClr val="66CCFF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45B-464A-AFB4-E26DC7F60470}"/>
              </c:ext>
            </c:extLst>
          </c:dPt>
          <c:dPt>
            <c:idx val="8"/>
            <c:invertIfNegative val="0"/>
            <c:bubble3D val="0"/>
            <c:spPr>
              <a:solidFill>
                <a:srgbClr val="66FF66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945B-464A-AFB4-E26DC7F60470}"/>
              </c:ext>
            </c:extLst>
          </c:dPt>
          <c:dPt>
            <c:idx val="9"/>
            <c:invertIfNegative val="0"/>
            <c:bubble3D val="0"/>
            <c:spPr>
              <a:solidFill>
                <a:srgbClr val="66FF66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45B-464A-AFB4-E26DC7F60470}"/>
              </c:ext>
            </c:extLst>
          </c:dPt>
          <c:dPt>
            <c:idx val="10"/>
            <c:invertIfNegative val="0"/>
            <c:bubble3D val="0"/>
            <c:spPr>
              <a:solidFill>
                <a:srgbClr val="66FF66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3E5-4739-843E-1AB4D0C31B29}"/>
              </c:ext>
            </c:extLst>
          </c:dPt>
          <c:dPt>
            <c:idx val="11"/>
            <c:invertIfNegative val="0"/>
            <c:bubble3D val="0"/>
            <c:spPr>
              <a:solidFill>
                <a:srgbClr val="66FF66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945B-464A-AFB4-E26DC7F60470}"/>
              </c:ext>
            </c:extLst>
          </c:dPt>
          <c:dPt>
            <c:idx val="12"/>
            <c:invertIfNegative val="0"/>
            <c:bubble3D val="0"/>
            <c:spPr>
              <a:solidFill>
                <a:srgbClr val="66FF66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45B-464A-AFB4-E26DC7F60470}"/>
              </c:ext>
            </c:extLst>
          </c:dPt>
          <c:dPt>
            <c:idx val="13"/>
            <c:invertIfNegative val="0"/>
            <c:bubble3D val="0"/>
            <c:spPr>
              <a:solidFill>
                <a:srgbClr val="66FF66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945B-464A-AFB4-E26DC7F60470}"/>
              </c:ext>
            </c:extLst>
          </c:dPt>
          <c:dPt>
            <c:idx val="14"/>
            <c:invertIfNegative val="0"/>
            <c:bubble3D val="0"/>
            <c:spPr>
              <a:solidFill>
                <a:srgbClr val="66FF66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45B-464A-AFB4-E26DC7F60470}"/>
              </c:ext>
            </c:extLst>
          </c:dPt>
          <c:dPt>
            <c:idx val="15"/>
            <c:invertIfNegative val="0"/>
            <c:bubble3D val="0"/>
            <c:spPr>
              <a:solidFill>
                <a:srgbClr val="66FF66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945B-464A-AFB4-E26DC7F60470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45B-464A-AFB4-E26DC7F60470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945B-464A-AFB4-E26DC7F60470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45B-464A-AFB4-E26DC7F60470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945B-464A-AFB4-E26DC7F60470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45B-464A-AFB4-E26DC7F60470}"/>
              </c:ext>
            </c:extLst>
          </c:dPt>
          <c:dPt>
            <c:idx val="21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945B-464A-AFB4-E26DC7F60470}"/>
              </c:ext>
            </c:extLst>
          </c:dPt>
          <c:dPt>
            <c:idx val="22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45B-464A-AFB4-E26DC7F60470}"/>
              </c:ext>
            </c:extLst>
          </c:dPt>
          <c:dPt>
            <c:idx val="23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945B-464A-AFB4-E26DC7F60470}"/>
              </c:ext>
            </c:extLst>
          </c:dPt>
          <c:dPt>
            <c:idx val="24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45B-464A-AFB4-E26DC7F60470}"/>
              </c:ext>
            </c:extLst>
          </c:dPt>
          <c:dPt>
            <c:idx val="25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945B-464A-AFB4-E26DC7F60470}"/>
              </c:ext>
            </c:extLst>
          </c:dPt>
          <c:dPt>
            <c:idx val="26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83E5-4739-843E-1AB4D0C31B29}"/>
              </c:ext>
            </c:extLst>
          </c:dPt>
          <c:errBars>
            <c:errBarType val="plus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'Compiled Data'!$I$3:$I$31</c15:sqref>
                    </c15:fullRef>
                  </c:ext>
                </c:extLst>
                <c:f>('Compiled Data'!$I$3:$I$20,'Compiled Data'!$I$23:$I$31)</c:f>
                <c:numCache>
                  <c:formatCode>General</c:formatCode>
                  <c:ptCount val="27"/>
                  <c:pt idx="0">
                    <c:v>2.2243003752977789E-2</c:v>
                  </c:pt>
                  <c:pt idx="1">
                    <c:v>0.16453102374999071</c:v>
                  </c:pt>
                  <c:pt idx="2">
                    <c:v>1.6047550443850183E-2</c:v>
                  </c:pt>
                  <c:pt idx="3">
                    <c:v>2.9408407806311498E-2</c:v>
                  </c:pt>
                  <c:pt idx="4">
                    <c:v>3.8056023815777718E-2</c:v>
                  </c:pt>
                  <c:pt idx="5">
                    <c:v>5.1234485089309424E-2</c:v>
                  </c:pt>
                  <c:pt idx="6">
                    <c:v>1.3082734096054141E-2</c:v>
                  </c:pt>
                  <c:pt idx="7">
                    <c:v>1.9264967456286732E-2</c:v>
                  </c:pt>
                  <c:pt idx="8">
                    <c:v>2.3801895920206255E-2</c:v>
                  </c:pt>
                  <c:pt idx="9">
                    <c:v>4.9774982447395463E-2</c:v>
                  </c:pt>
                  <c:pt idx="10">
                    <c:v>3.3702231008068406E-2</c:v>
                  </c:pt>
                  <c:pt idx="11">
                    <c:v>2.9128724928717972E-2</c:v>
                  </c:pt>
                  <c:pt idx="12">
                    <c:v>2.442547689115521E-2</c:v>
                  </c:pt>
                  <c:pt idx="13">
                    <c:v>3.8691804160842051E-2</c:v>
                  </c:pt>
                  <c:pt idx="14">
                    <c:v>4.3244555863432517E-2</c:v>
                  </c:pt>
                  <c:pt idx="15">
                    <c:v>3.6204574480331292E-2</c:v>
                  </c:pt>
                  <c:pt idx="16">
                    <c:v>4.1420513449683054E-2</c:v>
                  </c:pt>
                  <c:pt idx="17">
                    <c:v>3.9425525193079757E-2</c:v>
                  </c:pt>
                  <c:pt idx="18">
                    <c:v>3.2019270386419905E-2</c:v>
                  </c:pt>
                  <c:pt idx="19">
                    <c:v>1.8687201022184224E-2</c:v>
                  </c:pt>
                  <c:pt idx="20">
                    <c:v>3.7383502500927757E-2</c:v>
                  </c:pt>
                  <c:pt idx="21">
                    <c:v>3.7216353531005629E-2</c:v>
                  </c:pt>
                  <c:pt idx="22">
                    <c:v>9.2943864219845202E-3</c:v>
                  </c:pt>
                  <c:pt idx="23">
                    <c:v>2.9987417969380033E-2</c:v>
                  </c:pt>
                  <c:pt idx="24">
                    <c:v>2.191315846568738E-2</c:v>
                  </c:pt>
                  <c:pt idx="25">
                    <c:v>9.9388415167370407E-3</c:v>
                  </c:pt>
                  <c:pt idx="26">
                    <c:v>2.3644770866694111E-2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'Compiled Data'!$I$3:$I$31</c15:sqref>
                    </c15:fullRef>
                  </c:ext>
                </c:extLst>
                <c:f>('Compiled Data'!$I$3:$I$20,'Compiled Data'!$I$23:$I$31)</c:f>
                <c:numCache>
                  <c:formatCode>General</c:formatCode>
                  <c:ptCount val="27"/>
                  <c:pt idx="0">
                    <c:v>2.2243003752977789E-2</c:v>
                  </c:pt>
                  <c:pt idx="1">
                    <c:v>0.16453102374999071</c:v>
                  </c:pt>
                  <c:pt idx="2">
                    <c:v>1.6047550443850183E-2</c:v>
                  </c:pt>
                  <c:pt idx="3">
                    <c:v>2.9408407806311498E-2</c:v>
                  </c:pt>
                  <c:pt idx="4">
                    <c:v>3.8056023815777718E-2</c:v>
                  </c:pt>
                  <c:pt idx="5">
                    <c:v>5.1234485089309424E-2</c:v>
                  </c:pt>
                  <c:pt idx="6">
                    <c:v>1.3082734096054141E-2</c:v>
                  </c:pt>
                  <c:pt idx="7">
                    <c:v>1.9264967456286732E-2</c:v>
                  </c:pt>
                  <c:pt idx="8">
                    <c:v>2.3801895920206255E-2</c:v>
                  </c:pt>
                  <c:pt idx="9">
                    <c:v>4.9774982447395463E-2</c:v>
                  </c:pt>
                  <c:pt idx="10">
                    <c:v>3.3702231008068406E-2</c:v>
                  </c:pt>
                  <c:pt idx="11">
                    <c:v>2.9128724928717972E-2</c:v>
                  </c:pt>
                  <c:pt idx="12">
                    <c:v>2.442547689115521E-2</c:v>
                  </c:pt>
                  <c:pt idx="13">
                    <c:v>3.8691804160842051E-2</c:v>
                  </c:pt>
                  <c:pt idx="14">
                    <c:v>4.3244555863432517E-2</c:v>
                  </c:pt>
                  <c:pt idx="15">
                    <c:v>3.6204574480331292E-2</c:v>
                  </c:pt>
                  <c:pt idx="16">
                    <c:v>4.1420513449683054E-2</c:v>
                  </c:pt>
                  <c:pt idx="17">
                    <c:v>3.9425525193079757E-2</c:v>
                  </c:pt>
                  <c:pt idx="18">
                    <c:v>3.2019270386419905E-2</c:v>
                  </c:pt>
                  <c:pt idx="19">
                    <c:v>1.8687201022184224E-2</c:v>
                  </c:pt>
                  <c:pt idx="20">
                    <c:v>3.7383502500927757E-2</c:v>
                  </c:pt>
                  <c:pt idx="21">
                    <c:v>3.7216353531005629E-2</c:v>
                  </c:pt>
                  <c:pt idx="22">
                    <c:v>9.2943864219845202E-3</c:v>
                  </c:pt>
                  <c:pt idx="23">
                    <c:v>2.9987417969380033E-2</c:v>
                  </c:pt>
                  <c:pt idx="24">
                    <c:v>2.191315846568738E-2</c:v>
                  </c:pt>
                  <c:pt idx="25">
                    <c:v>9.9388415167370407E-3</c:v>
                  </c:pt>
                  <c:pt idx="26">
                    <c:v>2.3644770866694111E-2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'Compiled Data'!$A$3:$A$31</c15:sqref>
                  </c15:fullRef>
                </c:ext>
              </c:extLst>
              <c:f>('Compiled Data'!$A$3:$A$20,'Compiled Data'!$A$23:$A$31)</c:f>
              <c:strCache>
                <c:ptCount val="27"/>
                <c:pt idx="0">
                  <c:v>NC-1</c:v>
                </c:pt>
                <c:pt idx="1">
                  <c:v>FUS</c:v>
                </c:pt>
                <c:pt idx="2">
                  <c:v>TDP-43</c:v>
                </c:pt>
                <c:pt idx="3">
                  <c:v>TIA1</c:v>
                </c:pt>
                <c:pt idx="4">
                  <c:v>TAF15</c:v>
                </c:pt>
                <c:pt idx="5">
                  <c:v>EWSR1</c:v>
                </c:pt>
                <c:pt idx="6">
                  <c:v>hnRNPA1</c:v>
                </c:pt>
                <c:pt idx="7">
                  <c:v>Matrin-3</c:v>
                </c:pt>
                <c:pt idx="8">
                  <c:v>DDX1</c:v>
                </c:pt>
                <c:pt idx="9">
                  <c:v>DDX3X</c:v>
                </c:pt>
                <c:pt idx="10">
                  <c:v>DDX5</c:v>
                </c:pt>
                <c:pt idx="11">
                  <c:v>DDX6</c:v>
                </c:pt>
                <c:pt idx="12">
                  <c:v>DHX9</c:v>
                </c:pt>
                <c:pt idx="13">
                  <c:v>DDX20</c:v>
                </c:pt>
                <c:pt idx="14">
                  <c:v>DHX36</c:v>
                </c:pt>
                <c:pt idx="15">
                  <c:v>DDX39a</c:v>
                </c:pt>
                <c:pt idx="16">
                  <c:v>Gemin 4</c:v>
                </c:pt>
                <c:pt idx="17">
                  <c:v>Gemin 6</c:v>
                </c:pt>
                <c:pt idx="18">
                  <c:v>FMRP</c:v>
                </c:pt>
                <c:pt idx="19">
                  <c:v>TNPO1</c:v>
                </c:pt>
                <c:pt idx="20">
                  <c:v>Caprin1</c:v>
                </c:pt>
                <c:pt idx="21">
                  <c:v>Atxn2</c:v>
                </c:pt>
                <c:pt idx="22">
                  <c:v>G3BP1</c:v>
                </c:pt>
                <c:pt idx="23">
                  <c:v>HSBP1</c:v>
                </c:pt>
                <c:pt idx="24">
                  <c:v>ILF2</c:v>
                </c:pt>
                <c:pt idx="25">
                  <c:v>SFPQ</c:v>
                </c:pt>
                <c:pt idx="26">
                  <c:v>SARNP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'Compiled Data'!$D$3:$D$31</c15:sqref>
                  </c15:fullRef>
                </c:ext>
              </c:extLst>
              <c:f>('Compiled Data'!$D$3:$D$20,'Compiled Data'!$D$23:$D$31)</c:f>
              <c:numCache>
                <c:formatCode>General</c:formatCode>
                <c:ptCount val="27"/>
                <c:pt idx="0">
                  <c:v>1.1141794999999999</c:v>
                </c:pt>
                <c:pt idx="1">
                  <c:v>1.1728726</c:v>
                </c:pt>
                <c:pt idx="2">
                  <c:v>1.1476351666666667</c:v>
                </c:pt>
                <c:pt idx="3">
                  <c:v>1.2289749999999999</c:v>
                </c:pt>
                <c:pt idx="4">
                  <c:v>0.66679183333333336</c:v>
                </c:pt>
                <c:pt idx="5">
                  <c:v>0.6425327999999999</c:v>
                </c:pt>
                <c:pt idx="6">
                  <c:v>1.4706620000000001</c:v>
                </c:pt>
                <c:pt idx="7">
                  <c:v>1.1959023333333334</c:v>
                </c:pt>
                <c:pt idx="8">
                  <c:v>1.0959128</c:v>
                </c:pt>
                <c:pt idx="9">
                  <c:v>1.1037028333333334</c:v>
                </c:pt>
                <c:pt idx="10">
                  <c:v>1.0834644</c:v>
                </c:pt>
                <c:pt idx="11">
                  <c:v>0.63571549999999999</c:v>
                </c:pt>
                <c:pt idx="12">
                  <c:v>1.0476846666666668</c:v>
                </c:pt>
                <c:pt idx="13">
                  <c:v>1.1957941999999999</c:v>
                </c:pt>
                <c:pt idx="14">
                  <c:v>0.9368015999999999</c:v>
                </c:pt>
                <c:pt idx="15">
                  <c:v>1.3130526666666666</c:v>
                </c:pt>
                <c:pt idx="16">
                  <c:v>1.0453013333333334</c:v>
                </c:pt>
                <c:pt idx="17">
                  <c:v>1.0935598333333332</c:v>
                </c:pt>
                <c:pt idx="18">
                  <c:v>1.1397493333333333</c:v>
                </c:pt>
                <c:pt idx="19">
                  <c:v>1.400563</c:v>
                </c:pt>
                <c:pt idx="20">
                  <c:v>1.0171941666666668</c:v>
                </c:pt>
                <c:pt idx="21">
                  <c:v>0.76817330769230763</c:v>
                </c:pt>
                <c:pt idx="22">
                  <c:v>1.4191852</c:v>
                </c:pt>
                <c:pt idx="23">
                  <c:v>0.74942750000000002</c:v>
                </c:pt>
                <c:pt idx="24">
                  <c:v>1.0520249090909091</c:v>
                </c:pt>
                <c:pt idx="25">
                  <c:v>0.94494675000000028</c:v>
                </c:pt>
                <c:pt idx="26">
                  <c:v>1.0249519999999999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'Compiled Data'!$D$21</c15:sqref>
                  <c15:spPr xmlns:c15="http://schemas.microsoft.com/office/drawing/2012/chart">
                    <a:solidFill>
                      <a:srgbClr val="FFFF00"/>
                    </a:solidFill>
                    <a:ln w="12700">
                      <a:solidFill>
                        <a:sysClr val="windowText" lastClr="000000"/>
                      </a:solidFill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'Compiled Data'!$D$22</c15:sqref>
                  <c15:spPr xmlns:c15="http://schemas.microsoft.com/office/drawing/2012/chart">
                    <a:solidFill>
                      <a:srgbClr val="FFFF00"/>
                    </a:solidFill>
                    <a:ln w="12700">
                      <a:solidFill>
                        <a:sysClr val="windowText" lastClr="000000"/>
                      </a:solidFill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9DDF-4326-A2A0-43EF1D742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444133471"/>
        <c:axId val="444134303"/>
      </c:barChart>
      <c:catAx>
        <c:axId val="44413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4134303"/>
        <c:crosses val="autoZero"/>
        <c:auto val="1"/>
        <c:lblAlgn val="ctr"/>
        <c:lblOffset val="100"/>
        <c:noMultiLvlLbl val="0"/>
      </c:catAx>
      <c:valAx>
        <c:axId val="4441343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Granule Area (um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4133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85000"/>
              </a:schemeClr>
            </a:solidFill>
            <a:ln w="12700">
              <a:solidFill>
                <a:sysClr val="windowText" lastClr="000000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66CCFF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51-422D-B2B6-5A4D4DF386F3}"/>
              </c:ext>
            </c:extLst>
          </c:dPt>
          <c:dPt>
            <c:idx val="2"/>
            <c:invertIfNegative val="0"/>
            <c:bubble3D val="0"/>
            <c:spPr>
              <a:solidFill>
                <a:srgbClr val="66CCFF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51-422D-B2B6-5A4D4DF386F3}"/>
              </c:ext>
            </c:extLst>
          </c:dPt>
          <c:dPt>
            <c:idx val="3"/>
            <c:invertIfNegative val="0"/>
            <c:bubble3D val="0"/>
            <c:spPr>
              <a:solidFill>
                <a:srgbClr val="66CCFF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251-422D-B2B6-5A4D4DF386F3}"/>
              </c:ext>
            </c:extLst>
          </c:dPt>
          <c:dPt>
            <c:idx val="4"/>
            <c:invertIfNegative val="0"/>
            <c:bubble3D val="0"/>
            <c:spPr>
              <a:solidFill>
                <a:srgbClr val="66CCFF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251-422D-B2B6-5A4D4DF386F3}"/>
              </c:ext>
            </c:extLst>
          </c:dPt>
          <c:dPt>
            <c:idx val="5"/>
            <c:invertIfNegative val="0"/>
            <c:bubble3D val="0"/>
            <c:spPr>
              <a:solidFill>
                <a:srgbClr val="66CCFF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251-422D-B2B6-5A4D4DF386F3}"/>
              </c:ext>
            </c:extLst>
          </c:dPt>
          <c:dPt>
            <c:idx val="6"/>
            <c:invertIfNegative val="0"/>
            <c:bubble3D val="0"/>
            <c:spPr>
              <a:solidFill>
                <a:srgbClr val="66CCFF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251-422D-B2B6-5A4D4DF386F3}"/>
              </c:ext>
            </c:extLst>
          </c:dPt>
          <c:dPt>
            <c:idx val="7"/>
            <c:invertIfNegative val="0"/>
            <c:bubble3D val="0"/>
            <c:spPr>
              <a:solidFill>
                <a:srgbClr val="66CCFF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251-422D-B2B6-5A4D4DF386F3}"/>
              </c:ext>
            </c:extLst>
          </c:dPt>
          <c:dPt>
            <c:idx val="8"/>
            <c:invertIfNegative val="0"/>
            <c:bubble3D val="0"/>
            <c:spPr>
              <a:solidFill>
                <a:srgbClr val="66FF66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251-422D-B2B6-5A4D4DF386F3}"/>
              </c:ext>
            </c:extLst>
          </c:dPt>
          <c:dPt>
            <c:idx val="9"/>
            <c:invertIfNegative val="0"/>
            <c:bubble3D val="0"/>
            <c:spPr>
              <a:solidFill>
                <a:srgbClr val="66FF66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251-422D-B2B6-5A4D4DF386F3}"/>
              </c:ext>
            </c:extLst>
          </c:dPt>
          <c:dPt>
            <c:idx val="10"/>
            <c:invertIfNegative val="0"/>
            <c:bubble3D val="0"/>
            <c:spPr>
              <a:solidFill>
                <a:srgbClr val="66FF66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251-422D-B2B6-5A4D4DF386F3}"/>
              </c:ext>
            </c:extLst>
          </c:dPt>
          <c:dPt>
            <c:idx val="11"/>
            <c:invertIfNegative val="0"/>
            <c:bubble3D val="0"/>
            <c:spPr>
              <a:solidFill>
                <a:srgbClr val="66FF66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251-422D-B2B6-5A4D4DF386F3}"/>
              </c:ext>
            </c:extLst>
          </c:dPt>
          <c:dPt>
            <c:idx val="12"/>
            <c:invertIfNegative val="0"/>
            <c:bubble3D val="0"/>
            <c:spPr>
              <a:solidFill>
                <a:srgbClr val="66FF66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251-422D-B2B6-5A4D4DF386F3}"/>
              </c:ext>
            </c:extLst>
          </c:dPt>
          <c:dPt>
            <c:idx val="13"/>
            <c:invertIfNegative val="0"/>
            <c:bubble3D val="0"/>
            <c:spPr>
              <a:solidFill>
                <a:srgbClr val="66FF66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8251-422D-B2B6-5A4D4DF386F3}"/>
              </c:ext>
            </c:extLst>
          </c:dPt>
          <c:dPt>
            <c:idx val="14"/>
            <c:invertIfNegative val="0"/>
            <c:bubble3D val="0"/>
            <c:spPr>
              <a:solidFill>
                <a:srgbClr val="66FF66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8251-422D-B2B6-5A4D4DF386F3}"/>
              </c:ext>
            </c:extLst>
          </c:dPt>
          <c:dPt>
            <c:idx val="15"/>
            <c:invertIfNegative val="0"/>
            <c:bubble3D val="0"/>
            <c:spPr>
              <a:solidFill>
                <a:srgbClr val="66FF66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8251-422D-B2B6-5A4D4DF386F3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8251-422D-B2B6-5A4D4DF386F3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8251-422D-B2B6-5A4D4DF386F3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8251-422D-B2B6-5A4D4DF386F3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8251-422D-B2B6-5A4D4DF386F3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8251-422D-B2B6-5A4D4DF386F3}"/>
              </c:ext>
            </c:extLst>
          </c:dPt>
          <c:dPt>
            <c:idx val="21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8251-422D-B2B6-5A4D4DF386F3}"/>
              </c:ext>
            </c:extLst>
          </c:dPt>
          <c:dPt>
            <c:idx val="22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8251-422D-B2B6-5A4D4DF386F3}"/>
              </c:ext>
            </c:extLst>
          </c:dPt>
          <c:dPt>
            <c:idx val="23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8251-422D-B2B6-5A4D4DF386F3}"/>
              </c:ext>
            </c:extLst>
          </c:dPt>
          <c:dPt>
            <c:idx val="24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8251-422D-B2B6-5A4D4DF386F3}"/>
              </c:ext>
            </c:extLst>
          </c:dPt>
          <c:dPt>
            <c:idx val="25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8251-422D-B2B6-5A4D4DF386F3}"/>
              </c:ext>
            </c:extLst>
          </c:dPt>
          <c:dPt>
            <c:idx val="26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8251-422D-B2B6-5A4D4DF386F3}"/>
              </c:ext>
            </c:extLst>
          </c:dPt>
          <c:errBars>
            <c:errBarType val="plus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'Compiled Data'!$I$3:$I$31</c15:sqref>
                    </c15:fullRef>
                  </c:ext>
                </c:extLst>
                <c:f>('Compiled Data'!$I$3:$I$20,'Compiled Data'!$I$23:$I$31)</c:f>
                <c:numCache>
                  <c:formatCode>General</c:formatCode>
                  <c:ptCount val="27"/>
                  <c:pt idx="0">
                    <c:v>2.2243003752977789E-2</c:v>
                  </c:pt>
                  <c:pt idx="1">
                    <c:v>0.16453102374999071</c:v>
                  </c:pt>
                  <c:pt idx="2">
                    <c:v>1.6047550443850183E-2</c:v>
                  </c:pt>
                  <c:pt idx="3">
                    <c:v>2.9408407806311498E-2</c:v>
                  </c:pt>
                  <c:pt idx="4">
                    <c:v>3.8056023815777718E-2</c:v>
                  </c:pt>
                  <c:pt idx="5">
                    <c:v>5.1234485089309424E-2</c:v>
                  </c:pt>
                  <c:pt idx="6">
                    <c:v>1.3082734096054141E-2</c:v>
                  </c:pt>
                  <c:pt idx="7">
                    <c:v>1.9264967456286732E-2</c:v>
                  </c:pt>
                  <c:pt idx="8">
                    <c:v>2.3801895920206255E-2</c:v>
                  </c:pt>
                  <c:pt idx="9">
                    <c:v>4.9774982447395463E-2</c:v>
                  </c:pt>
                  <c:pt idx="10">
                    <c:v>3.3702231008068406E-2</c:v>
                  </c:pt>
                  <c:pt idx="11">
                    <c:v>2.9128724928717972E-2</c:v>
                  </c:pt>
                  <c:pt idx="12">
                    <c:v>2.442547689115521E-2</c:v>
                  </c:pt>
                  <c:pt idx="13">
                    <c:v>3.8691804160842051E-2</c:v>
                  </c:pt>
                  <c:pt idx="14">
                    <c:v>4.3244555863432517E-2</c:v>
                  </c:pt>
                  <c:pt idx="15">
                    <c:v>3.6204574480331292E-2</c:v>
                  </c:pt>
                  <c:pt idx="16">
                    <c:v>4.1420513449683054E-2</c:v>
                  </c:pt>
                  <c:pt idx="17">
                    <c:v>3.9425525193079757E-2</c:v>
                  </c:pt>
                  <c:pt idx="18">
                    <c:v>3.2019270386419905E-2</c:v>
                  </c:pt>
                  <c:pt idx="19">
                    <c:v>1.8687201022184224E-2</c:v>
                  </c:pt>
                  <c:pt idx="20">
                    <c:v>3.7383502500927757E-2</c:v>
                  </c:pt>
                  <c:pt idx="21">
                    <c:v>3.7216353531005629E-2</c:v>
                  </c:pt>
                  <c:pt idx="22">
                    <c:v>9.2943864219845202E-3</c:v>
                  </c:pt>
                  <c:pt idx="23">
                    <c:v>2.9987417969380033E-2</c:v>
                  </c:pt>
                  <c:pt idx="24">
                    <c:v>2.191315846568738E-2</c:v>
                  </c:pt>
                  <c:pt idx="25">
                    <c:v>9.9388415167370407E-3</c:v>
                  </c:pt>
                  <c:pt idx="26">
                    <c:v>2.3644770866694111E-2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'Compiled Data'!$I$3:$I$31</c15:sqref>
                    </c15:fullRef>
                  </c:ext>
                </c:extLst>
                <c:f>('Compiled Data'!$I$3:$I$20,'Compiled Data'!$I$23:$I$31)</c:f>
                <c:numCache>
                  <c:formatCode>General</c:formatCode>
                  <c:ptCount val="27"/>
                  <c:pt idx="0">
                    <c:v>2.2243003752977789E-2</c:v>
                  </c:pt>
                  <c:pt idx="1">
                    <c:v>0.16453102374999071</c:v>
                  </c:pt>
                  <c:pt idx="2">
                    <c:v>1.6047550443850183E-2</c:v>
                  </c:pt>
                  <c:pt idx="3">
                    <c:v>2.9408407806311498E-2</c:v>
                  </c:pt>
                  <c:pt idx="4">
                    <c:v>3.8056023815777718E-2</c:v>
                  </c:pt>
                  <c:pt idx="5">
                    <c:v>5.1234485089309424E-2</c:v>
                  </c:pt>
                  <c:pt idx="6">
                    <c:v>1.3082734096054141E-2</c:v>
                  </c:pt>
                  <c:pt idx="7">
                    <c:v>1.9264967456286732E-2</c:v>
                  </c:pt>
                  <c:pt idx="8">
                    <c:v>2.3801895920206255E-2</c:v>
                  </c:pt>
                  <c:pt idx="9">
                    <c:v>4.9774982447395463E-2</c:v>
                  </c:pt>
                  <c:pt idx="10">
                    <c:v>3.3702231008068406E-2</c:v>
                  </c:pt>
                  <c:pt idx="11">
                    <c:v>2.9128724928717972E-2</c:v>
                  </c:pt>
                  <c:pt idx="12">
                    <c:v>2.442547689115521E-2</c:v>
                  </c:pt>
                  <c:pt idx="13">
                    <c:v>3.8691804160842051E-2</c:v>
                  </c:pt>
                  <c:pt idx="14">
                    <c:v>4.3244555863432517E-2</c:v>
                  </c:pt>
                  <c:pt idx="15">
                    <c:v>3.6204574480331292E-2</c:v>
                  </c:pt>
                  <c:pt idx="16">
                    <c:v>4.1420513449683054E-2</c:v>
                  </c:pt>
                  <c:pt idx="17">
                    <c:v>3.9425525193079757E-2</c:v>
                  </c:pt>
                  <c:pt idx="18">
                    <c:v>3.2019270386419905E-2</c:v>
                  </c:pt>
                  <c:pt idx="19">
                    <c:v>1.8687201022184224E-2</c:v>
                  </c:pt>
                  <c:pt idx="20">
                    <c:v>3.7383502500927757E-2</c:v>
                  </c:pt>
                  <c:pt idx="21">
                    <c:v>3.7216353531005629E-2</c:v>
                  </c:pt>
                  <c:pt idx="22">
                    <c:v>9.2943864219845202E-3</c:v>
                  </c:pt>
                  <c:pt idx="23">
                    <c:v>2.9987417969380033E-2</c:v>
                  </c:pt>
                  <c:pt idx="24">
                    <c:v>2.191315846568738E-2</c:v>
                  </c:pt>
                  <c:pt idx="25">
                    <c:v>9.9388415167370407E-3</c:v>
                  </c:pt>
                  <c:pt idx="26">
                    <c:v>2.3644770866694111E-2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'Compiled Data'!$A$3:$A$31</c15:sqref>
                  </c15:fullRef>
                </c:ext>
              </c:extLst>
              <c:f>('Compiled Data'!$A$3:$A$20,'Compiled Data'!$A$23:$A$31)</c:f>
              <c:strCache>
                <c:ptCount val="27"/>
                <c:pt idx="0">
                  <c:v>NC-1</c:v>
                </c:pt>
                <c:pt idx="1">
                  <c:v>FUS</c:v>
                </c:pt>
                <c:pt idx="2">
                  <c:v>TDP-43</c:v>
                </c:pt>
                <c:pt idx="3">
                  <c:v>TIA1</c:v>
                </c:pt>
                <c:pt idx="4">
                  <c:v>TAF15</c:v>
                </c:pt>
                <c:pt idx="5">
                  <c:v>EWSR1</c:v>
                </c:pt>
                <c:pt idx="6">
                  <c:v>hnRNPA1</c:v>
                </c:pt>
                <c:pt idx="7">
                  <c:v>Matrin-3</c:v>
                </c:pt>
                <c:pt idx="8">
                  <c:v>DDX1</c:v>
                </c:pt>
                <c:pt idx="9">
                  <c:v>DDX3X</c:v>
                </c:pt>
                <c:pt idx="10">
                  <c:v>DDX5</c:v>
                </c:pt>
                <c:pt idx="11">
                  <c:v>DDX6</c:v>
                </c:pt>
                <c:pt idx="12">
                  <c:v>DHX9</c:v>
                </c:pt>
                <c:pt idx="13">
                  <c:v>DDX20</c:v>
                </c:pt>
                <c:pt idx="14">
                  <c:v>DHX36</c:v>
                </c:pt>
                <c:pt idx="15">
                  <c:v>DDX39a</c:v>
                </c:pt>
                <c:pt idx="16">
                  <c:v>Gemin 4</c:v>
                </c:pt>
                <c:pt idx="17">
                  <c:v>Gemin 6</c:v>
                </c:pt>
                <c:pt idx="18">
                  <c:v>FMRP</c:v>
                </c:pt>
                <c:pt idx="19">
                  <c:v>TNPO1</c:v>
                </c:pt>
                <c:pt idx="20">
                  <c:v>Caprin1</c:v>
                </c:pt>
                <c:pt idx="21">
                  <c:v>Atxn2</c:v>
                </c:pt>
                <c:pt idx="22">
                  <c:v>G3BP1</c:v>
                </c:pt>
                <c:pt idx="23">
                  <c:v>HSBP1</c:v>
                </c:pt>
                <c:pt idx="24">
                  <c:v>ILF2</c:v>
                </c:pt>
                <c:pt idx="25">
                  <c:v>SFPQ</c:v>
                </c:pt>
                <c:pt idx="26">
                  <c:v>SARNP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'Compiled Data'!$D$3:$D$31</c15:sqref>
                  </c15:fullRef>
                </c:ext>
              </c:extLst>
              <c:f>('Compiled Data'!$D$3:$D$20,'Compiled Data'!$D$23:$D$31)</c:f>
              <c:numCache>
                <c:formatCode>General</c:formatCode>
                <c:ptCount val="27"/>
                <c:pt idx="0">
                  <c:v>1.1141794999999999</c:v>
                </c:pt>
                <c:pt idx="1">
                  <c:v>1.1728726</c:v>
                </c:pt>
                <c:pt idx="2">
                  <c:v>1.1476351666666667</c:v>
                </c:pt>
                <c:pt idx="3">
                  <c:v>1.2289749999999999</c:v>
                </c:pt>
                <c:pt idx="4">
                  <c:v>0.66679183333333336</c:v>
                </c:pt>
                <c:pt idx="5">
                  <c:v>0.6425327999999999</c:v>
                </c:pt>
                <c:pt idx="6">
                  <c:v>1.4706620000000001</c:v>
                </c:pt>
                <c:pt idx="7">
                  <c:v>1.1959023333333334</c:v>
                </c:pt>
                <c:pt idx="8">
                  <c:v>1.0959128</c:v>
                </c:pt>
                <c:pt idx="9">
                  <c:v>1.1037028333333334</c:v>
                </c:pt>
                <c:pt idx="10">
                  <c:v>1.0834644</c:v>
                </c:pt>
                <c:pt idx="11">
                  <c:v>0.63571549999999999</c:v>
                </c:pt>
                <c:pt idx="12">
                  <c:v>1.0476846666666668</c:v>
                </c:pt>
                <c:pt idx="13">
                  <c:v>1.1957941999999999</c:v>
                </c:pt>
                <c:pt idx="14">
                  <c:v>0.9368015999999999</c:v>
                </c:pt>
                <c:pt idx="15">
                  <c:v>1.3130526666666666</c:v>
                </c:pt>
                <c:pt idx="16">
                  <c:v>1.0453013333333334</c:v>
                </c:pt>
                <c:pt idx="17">
                  <c:v>1.0935598333333332</c:v>
                </c:pt>
                <c:pt idx="18">
                  <c:v>1.1397493333333333</c:v>
                </c:pt>
                <c:pt idx="19">
                  <c:v>1.400563</c:v>
                </c:pt>
                <c:pt idx="20">
                  <c:v>1.0171941666666668</c:v>
                </c:pt>
                <c:pt idx="21">
                  <c:v>0.76817330769230763</c:v>
                </c:pt>
                <c:pt idx="22">
                  <c:v>1.4191852</c:v>
                </c:pt>
                <c:pt idx="23">
                  <c:v>0.74942750000000002</c:v>
                </c:pt>
                <c:pt idx="24">
                  <c:v>1.0520249090909091</c:v>
                </c:pt>
                <c:pt idx="25">
                  <c:v>0.94494675000000028</c:v>
                </c:pt>
                <c:pt idx="26">
                  <c:v>1.0249519999999999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'Compiled Data'!$D$21</c15:sqref>
                  <c15:spPr xmlns:c15="http://schemas.microsoft.com/office/drawing/2012/chart">
                    <a:solidFill>
                      <a:srgbClr val="FFFF00"/>
                    </a:solidFill>
                    <a:ln w="12700">
                      <a:solidFill>
                        <a:sysClr val="windowText" lastClr="000000"/>
                      </a:solidFill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'Compiled Data'!$D$22</c15:sqref>
                  <c15:spPr xmlns:c15="http://schemas.microsoft.com/office/drawing/2012/chart">
                    <a:solidFill>
                      <a:srgbClr val="FFFF00"/>
                    </a:solidFill>
                    <a:ln w="12700">
                      <a:solidFill>
                        <a:sysClr val="windowText" lastClr="000000"/>
                      </a:solidFill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34-8251-422D-B2B6-5A4D4DF38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444133471"/>
        <c:axId val="444134303"/>
      </c:barChart>
      <c:catAx>
        <c:axId val="44413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4134303"/>
        <c:crosses val="autoZero"/>
        <c:auto val="1"/>
        <c:lblAlgn val="ctr"/>
        <c:lblOffset val="100"/>
        <c:noMultiLvlLbl val="0"/>
      </c:catAx>
      <c:valAx>
        <c:axId val="4441343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Granule Area (um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4133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85000"/>
              </a:schemeClr>
            </a:solidFill>
            <a:ln w="12700">
              <a:solidFill>
                <a:sysClr val="windowText" lastClr="000000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66CCFF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225-4589-B047-528571A5658C}"/>
              </c:ext>
            </c:extLst>
          </c:dPt>
          <c:dPt>
            <c:idx val="2"/>
            <c:invertIfNegative val="0"/>
            <c:bubble3D val="0"/>
            <c:spPr>
              <a:solidFill>
                <a:srgbClr val="66CCFF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25-4589-B047-528571A5658C}"/>
              </c:ext>
            </c:extLst>
          </c:dPt>
          <c:dPt>
            <c:idx val="3"/>
            <c:invertIfNegative val="0"/>
            <c:bubble3D val="0"/>
            <c:spPr>
              <a:solidFill>
                <a:srgbClr val="66CCFF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225-4589-B047-528571A5658C}"/>
              </c:ext>
            </c:extLst>
          </c:dPt>
          <c:dPt>
            <c:idx val="4"/>
            <c:invertIfNegative val="0"/>
            <c:bubble3D val="0"/>
            <c:spPr>
              <a:solidFill>
                <a:srgbClr val="66CCFF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225-4589-B047-528571A5658C}"/>
              </c:ext>
            </c:extLst>
          </c:dPt>
          <c:dPt>
            <c:idx val="5"/>
            <c:invertIfNegative val="0"/>
            <c:bubble3D val="0"/>
            <c:spPr>
              <a:solidFill>
                <a:srgbClr val="66CCFF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225-4589-B047-528571A5658C}"/>
              </c:ext>
            </c:extLst>
          </c:dPt>
          <c:dPt>
            <c:idx val="6"/>
            <c:invertIfNegative val="0"/>
            <c:bubble3D val="0"/>
            <c:spPr>
              <a:solidFill>
                <a:srgbClr val="66CCFF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225-4589-B047-528571A5658C}"/>
              </c:ext>
            </c:extLst>
          </c:dPt>
          <c:dPt>
            <c:idx val="7"/>
            <c:invertIfNegative val="0"/>
            <c:bubble3D val="0"/>
            <c:spPr>
              <a:solidFill>
                <a:srgbClr val="66CCFF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225-4589-B047-528571A5658C}"/>
              </c:ext>
            </c:extLst>
          </c:dPt>
          <c:dPt>
            <c:idx val="8"/>
            <c:invertIfNegative val="0"/>
            <c:bubble3D val="0"/>
            <c:spPr>
              <a:solidFill>
                <a:srgbClr val="66FF66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225-4589-B047-528571A5658C}"/>
              </c:ext>
            </c:extLst>
          </c:dPt>
          <c:dPt>
            <c:idx val="9"/>
            <c:invertIfNegative val="0"/>
            <c:bubble3D val="0"/>
            <c:spPr>
              <a:solidFill>
                <a:srgbClr val="66FF66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225-4589-B047-528571A5658C}"/>
              </c:ext>
            </c:extLst>
          </c:dPt>
          <c:dPt>
            <c:idx val="10"/>
            <c:invertIfNegative val="0"/>
            <c:bubble3D val="0"/>
            <c:spPr>
              <a:solidFill>
                <a:srgbClr val="66FF66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225-4589-B047-528571A5658C}"/>
              </c:ext>
            </c:extLst>
          </c:dPt>
          <c:dPt>
            <c:idx val="11"/>
            <c:invertIfNegative val="0"/>
            <c:bubble3D val="0"/>
            <c:spPr>
              <a:solidFill>
                <a:srgbClr val="66FF66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225-4589-B047-528571A5658C}"/>
              </c:ext>
            </c:extLst>
          </c:dPt>
          <c:dPt>
            <c:idx val="12"/>
            <c:invertIfNegative val="0"/>
            <c:bubble3D val="0"/>
            <c:spPr>
              <a:solidFill>
                <a:srgbClr val="66FF66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225-4589-B047-528571A5658C}"/>
              </c:ext>
            </c:extLst>
          </c:dPt>
          <c:dPt>
            <c:idx val="13"/>
            <c:invertIfNegative val="0"/>
            <c:bubble3D val="0"/>
            <c:spPr>
              <a:solidFill>
                <a:srgbClr val="66FF66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225-4589-B047-528571A5658C}"/>
              </c:ext>
            </c:extLst>
          </c:dPt>
          <c:dPt>
            <c:idx val="14"/>
            <c:invertIfNegative val="0"/>
            <c:bubble3D val="0"/>
            <c:spPr>
              <a:solidFill>
                <a:srgbClr val="66FF66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B225-4589-B047-528571A5658C}"/>
              </c:ext>
            </c:extLst>
          </c:dPt>
          <c:dPt>
            <c:idx val="15"/>
            <c:invertIfNegative val="0"/>
            <c:bubble3D val="0"/>
            <c:spPr>
              <a:solidFill>
                <a:srgbClr val="66FF66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B225-4589-B047-528571A5658C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B225-4589-B047-528571A5658C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B225-4589-B047-528571A5658C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B225-4589-B047-528571A5658C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B225-4589-B047-528571A5658C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B225-4589-B047-528571A5658C}"/>
              </c:ext>
            </c:extLst>
          </c:dPt>
          <c:dPt>
            <c:idx val="21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B225-4589-B047-528571A5658C}"/>
              </c:ext>
            </c:extLst>
          </c:dPt>
          <c:dPt>
            <c:idx val="22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B225-4589-B047-528571A5658C}"/>
              </c:ext>
            </c:extLst>
          </c:dPt>
          <c:dPt>
            <c:idx val="23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B225-4589-B047-528571A5658C}"/>
              </c:ext>
            </c:extLst>
          </c:dPt>
          <c:dPt>
            <c:idx val="24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B225-4589-B047-528571A5658C}"/>
              </c:ext>
            </c:extLst>
          </c:dPt>
          <c:dPt>
            <c:idx val="25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B225-4589-B047-528571A5658C}"/>
              </c:ext>
            </c:extLst>
          </c:dPt>
          <c:dPt>
            <c:idx val="26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B225-4589-B047-528571A5658C}"/>
              </c:ext>
            </c:extLst>
          </c:dPt>
          <c:errBars>
            <c:errBarType val="plus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'Compiled Data'!$H$3:$H$31</c15:sqref>
                    </c15:fullRef>
                  </c:ext>
                </c:extLst>
                <c:f>('Compiled Data'!$H$3:$H$20,'Compiled Data'!$H$23:$H$31)</c:f>
                <c:numCache>
                  <c:formatCode>General</c:formatCode>
                  <c:ptCount val="27"/>
                  <c:pt idx="0">
                    <c:v>9.0114442882637202E-2</c:v>
                  </c:pt>
                  <c:pt idx="1">
                    <c:v>4.3905587244174114E-2</c:v>
                  </c:pt>
                  <c:pt idx="2">
                    <c:v>0.18023389403707235</c:v>
                  </c:pt>
                  <c:pt idx="3">
                    <c:v>0.18453643153448032</c:v>
                  </c:pt>
                  <c:pt idx="4">
                    <c:v>0.22002105432609034</c:v>
                  </c:pt>
                  <c:pt idx="5">
                    <c:v>0.21189395172870207</c:v>
                  </c:pt>
                  <c:pt idx="6">
                    <c:v>9.587306501193707E-2</c:v>
                  </c:pt>
                  <c:pt idx="7">
                    <c:v>0.10857139020481281</c:v>
                  </c:pt>
                  <c:pt idx="8">
                    <c:v>0.1863463443664671</c:v>
                  </c:pt>
                  <c:pt idx="9">
                    <c:v>0.21413640280467336</c:v>
                  </c:pt>
                  <c:pt idx="10">
                    <c:v>2.4412093733807993E-2</c:v>
                  </c:pt>
                  <c:pt idx="11">
                    <c:v>4.0434741270780575E-2</c:v>
                  </c:pt>
                  <c:pt idx="12">
                    <c:v>0.14149314694787812</c:v>
                  </c:pt>
                  <c:pt idx="13">
                    <c:v>6.6920188028708555E-2</c:v>
                  </c:pt>
                  <c:pt idx="14">
                    <c:v>2.739949406832989E-2</c:v>
                  </c:pt>
                  <c:pt idx="15">
                    <c:v>8.5415463311248468E-2</c:v>
                  </c:pt>
                  <c:pt idx="16">
                    <c:v>9.6371566594831148E-2</c:v>
                  </c:pt>
                  <c:pt idx="17">
                    <c:v>0.11189550433357713</c:v>
                  </c:pt>
                  <c:pt idx="18">
                    <c:v>0.13120312722648164</c:v>
                  </c:pt>
                  <c:pt idx="19">
                    <c:v>0.14214026657788678</c:v>
                  </c:pt>
                  <c:pt idx="20">
                    <c:v>0.13025159215067189</c:v>
                  </c:pt>
                  <c:pt idx="21">
                    <c:v>0.10709797860085196</c:v>
                  </c:pt>
                  <c:pt idx="22">
                    <c:v>0.15301563684943262</c:v>
                  </c:pt>
                  <c:pt idx="23">
                    <c:v>0.11626284625670022</c:v>
                  </c:pt>
                  <c:pt idx="24">
                    <c:v>7.4268684105358265E-2</c:v>
                  </c:pt>
                  <c:pt idx="25">
                    <c:v>0.10353274120423409</c:v>
                  </c:pt>
                  <c:pt idx="26">
                    <c:v>9.2706781440749328E-2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'Compiled Data'!$H$3:$H$31</c15:sqref>
                    </c15:fullRef>
                  </c:ext>
                </c:extLst>
                <c:f>('Compiled Data'!$H$3:$H$20,'Compiled Data'!$H$23:$H$31)</c:f>
                <c:numCache>
                  <c:formatCode>General</c:formatCode>
                  <c:ptCount val="27"/>
                  <c:pt idx="0">
                    <c:v>9.0114442882637202E-2</c:v>
                  </c:pt>
                  <c:pt idx="1">
                    <c:v>4.3905587244174114E-2</c:v>
                  </c:pt>
                  <c:pt idx="2">
                    <c:v>0.18023389403707235</c:v>
                  </c:pt>
                  <c:pt idx="3">
                    <c:v>0.18453643153448032</c:v>
                  </c:pt>
                  <c:pt idx="4">
                    <c:v>0.22002105432609034</c:v>
                  </c:pt>
                  <c:pt idx="5">
                    <c:v>0.21189395172870207</c:v>
                  </c:pt>
                  <c:pt idx="6">
                    <c:v>9.587306501193707E-2</c:v>
                  </c:pt>
                  <c:pt idx="7">
                    <c:v>0.10857139020481281</c:v>
                  </c:pt>
                  <c:pt idx="8">
                    <c:v>0.1863463443664671</c:v>
                  </c:pt>
                  <c:pt idx="9">
                    <c:v>0.21413640280467336</c:v>
                  </c:pt>
                  <c:pt idx="10">
                    <c:v>2.4412093733807993E-2</c:v>
                  </c:pt>
                  <c:pt idx="11">
                    <c:v>4.0434741270780575E-2</c:v>
                  </c:pt>
                  <c:pt idx="12">
                    <c:v>0.14149314694787812</c:v>
                  </c:pt>
                  <c:pt idx="13">
                    <c:v>6.6920188028708555E-2</c:v>
                  </c:pt>
                  <c:pt idx="14">
                    <c:v>2.739949406832989E-2</c:v>
                  </c:pt>
                  <c:pt idx="15">
                    <c:v>8.5415463311248468E-2</c:v>
                  </c:pt>
                  <c:pt idx="16">
                    <c:v>9.6371566594831148E-2</c:v>
                  </c:pt>
                  <c:pt idx="17">
                    <c:v>0.11189550433357713</c:v>
                  </c:pt>
                  <c:pt idx="18">
                    <c:v>0.13120312722648164</c:v>
                  </c:pt>
                  <c:pt idx="19">
                    <c:v>0.14214026657788678</c:v>
                  </c:pt>
                  <c:pt idx="20">
                    <c:v>0.13025159215067189</c:v>
                  </c:pt>
                  <c:pt idx="21">
                    <c:v>0.10709797860085196</c:v>
                  </c:pt>
                  <c:pt idx="22">
                    <c:v>0.15301563684943262</c:v>
                  </c:pt>
                  <c:pt idx="23">
                    <c:v>0.11626284625670022</c:v>
                  </c:pt>
                  <c:pt idx="24">
                    <c:v>7.4268684105358265E-2</c:v>
                  </c:pt>
                  <c:pt idx="25">
                    <c:v>0.10353274120423409</c:v>
                  </c:pt>
                  <c:pt idx="26">
                    <c:v>9.2706781440749328E-2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'Compiled Data'!$A$3:$A$31</c15:sqref>
                  </c15:fullRef>
                </c:ext>
              </c:extLst>
              <c:f>('Compiled Data'!$A$3:$A$20,'Compiled Data'!$A$23:$A$31)</c:f>
              <c:strCache>
                <c:ptCount val="27"/>
                <c:pt idx="0">
                  <c:v>NC-1</c:v>
                </c:pt>
                <c:pt idx="1">
                  <c:v>FUS</c:v>
                </c:pt>
                <c:pt idx="2">
                  <c:v>TDP-43</c:v>
                </c:pt>
                <c:pt idx="3">
                  <c:v>TIA1</c:v>
                </c:pt>
                <c:pt idx="4">
                  <c:v>TAF15</c:v>
                </c:pt>
                <c:pt idx="5">
                  <c:v>EWSR1</c:v>
                </c:pt>
                <c:pt idx="6">
                  <c:v>hnRNPA1</c:v>
                </c:pt>
                <c:pt idx="7">
                  <c:v>Matrin-3</c:v>
                </c:pt>
                <c:pt idx="8">
                  <c:v>DDX1</c:v>
                </c:pt>
                <c:pt idx="9">
                  <c:v>DDX3X</c:v>
                </c:pt>
                <c:pt idx="10">
                  <c:v>DDX5</c:v>
                </c:pt>
                <c:pt idx="11">
                  <c:v>DDX6</c:v>
                </c:pt>
                <c:pt idx="12">
                  <c:v>DHX9</c:v>
                </c:pt>
                <c:pt idx="13">
                  <c:v>DDX20</c:v>
                </c:pt>
                <c:pt idx="14">
                  <c:v>DHX36</c:v>
                </c:pt>
                <c:pt idx="15">
                  <c:v>DDX39a</c:v>
                </c:pt>
                <c:pt idx="16">
                  <c:v>Gemin 4</c:v>
                </c:pt>
                <c:pt idx="17">
                  <c:v>Gemin 6</c:v>
                </c:pt>
                <c:pt idx="18">
                  <c:v>FMRP</c:v>
                </c:pt>
                <c:pt idx="19">
                  <c:v>TNPO1</c:v>
                </c:pt>
                <c:pt idx="20">
                  <c:v>Caprin1</c:v>
                </c:pt>
                <c:pt idx="21">
                  <c:v>Atxn2</c:v>
                </c:pt>
                <c:pt idx="22">
                  <c:v>G3BP1</c:v>
                </c:pt>
                <c:pt idx="23">
                  <c:v>HSBP1</c:v>
                </c:pt>
                <c:pt idx="24">
                  <c:v>ILF2</c:v>
                </c:pt>
                <c:pt idx="25">
                  <c:v>SFPQ</c:v>
                </c:pt>
                <c:pt idx="26">
                  <c:v>SARNP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'Compiled Data'!$B$3:$B$31</c15:sqref>
                  </c15:fullRef>
                </c:ext>
              </c:extLst>
              <c:f>('Compiled Data'!$B$3:$B$20,'Compiled Data'!$B$23:$B$31)</c:f>
              <c:numCache>
                <c:formatCode>General</c:formatCode>
                <c:ptCount val="27"/>
                <c:pt idx="0">
                  <c:v>1.7385431697931697</c:v>
                </c:pt>
                <c:pt idx="1">
                  <c:v>0.45305194805194809</c:v>
                </c:pt>
                <c:pt idx="2">
                  <c:v>2.38904761904762</c:v>
                </c:pt>
                <c:pt idx="3">
                  <c:v>2.2478956228956228</c:v>
                </c:pt>
                <c:pt idx="4">
                  <c:v>2.1922619047619043</c:v>
                </c:pt>
                <c:pt idx="5">
                  <c:v>1.2036507936507936</c:v>
                </c:pt>
                <c:pt idx="6">
                  <c:v>2.8088383838383839</c:v>
                </c:pt>
                <c:pt idx="7">
                  <c:v>2.6891369047619</c:v>
                </c:pt>
                <c:pt idx="8">
                  <c:v>2.548510422830133</c:v>
                </c:pt>
                <c:pt idx="9">
                  <c:v>2.1850649350649349</c:v>
                </c:pt>
                <c:pt idx="10">
                  <c:v>1.505050505050505</c:v>
                </c:pt>
                <c:pt idx="11">
                  <c:v>0.77777777777777779</c:v>
                </c:pt>
                <c:pt idx="12">
                  <c:v>2.3722222222222222</c:v>
                </c:pt>
                <c:pt idx="13">
                  <c:v>2.4063492063492062</c:v>
                </c:pt>
                <c:pt idx="14">
                  <c:v>0.82684766214177974</c:v>
                </c:pt>
                <c:pt idx="15">
                  <c:v>2.1345899470899501</c:v>
                </c:pt>
                <c:pt idx="16">
                  <c:v>1.8449494949494951</c:v>
                </c:pt>
                <c:pt idx="17">
                  <c:v>2.1766330891330887</c:v>
                </c:pt>
                <c:pt idx="18">
                  <c:v>1.9292328042328044</c:v>
                </c:pt>
                <c:pt idx="19">
                  <c:v>3.285353535353535</c:v>
                </c:pt>
                <c:pt idx="20">
                  <c:v>1.9602564102564102</c:v>
                </c:pt>
                <c:pt idx="21">
                  <c:v>1.5119658119658119</c:v>
                </c:pt>
                <c:pt idx="22">
                  <c:v>2.48924630924631</c:v>
                </c:pt>
                <c:pt idx="23">
                  <c:v>2.4480820105820107</c:v>
                </c:pt>
                <c:pt idx="24">
                  <c:v>1.9365329115329113</c:v>
                </c:pt>
                <c:pt idx="25">
                  <c:v>2.1734672190554543</c:v>
                </c:pt>
                <c:pt idx="26">
                  <c:v>2.1259259259259262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'Compiled Data'!$B$21</c15:sqref>
                  <c15:spPr xmlns:c15="http://schemas.microsoft.com/office/drawing/2012/chart">
                    <a:solidFill>
                      <a:srgbClr val="FFFF00"/>
                    </a:solidFill>
                    <a:ln w="12700">
                      <a:solidFill>
                        <a:sysClr val="windowText" lastClr="000000"/>
                      </a:solidFill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'Compiled Data'!$B$22</c15:sqref>
                  <c15:spPr xmlns:c15="http://schemas.microsoft.com/office/drawing/2012/chart">
                    <a:solidFill>
                      <a:srgbClr val="FFFF00"/>
                    </a:solidFill>
                    <a:ln w="12700">
                      <a:solidFill>
                        <a:sysClr val="windowText" lastClr="000000"/>
                      </a:solidFill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34-B225-4589-B047-528571A56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444133471"/>
        <c:axId val="444134303"/>
      </c:barChart>
      <c:catAx>
        <c:axId val="44413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4134303"/>
        <c:crosses val="autoZero"/>
        <c:auto val="1"/>
        <c:lblAlgn val="ctr"/>
        <c:lblOffset val="100"/>
        <c:noMultiLvlLbl val="0"/>
      </c:catAx>
      <c:valAx>
        <c:axId val="4441343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Granules per Cell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4133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Mean Granule</a:t>
            </a:r>
            <a:r>
              <a:rPr lang="en-US" sz="1600" b="1" baseline="0">
                <a:solidFill>
                  <a:schemeClr val="tx1"/>
                </a:solidFill>
              </a:rPr>
              <a:t> Count vs Area</a:t>
            </a:r>
            <a:endParaRPr lang="en-US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4757821984460915"/>
          <c:y val="3.4306623118292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98198466577566"/>
          <c:y val="0.12741803983202771"/>
          <c:w val="0.82396776522320492"/>
          <c:h val="0.7389209498784412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chemeClr val="tx1">
                  <a:alpha val="4929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14"/>
              <c:spPr>
                <a:solidFill>
                  <a:schemeClr val="bg1"/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240E-A040-BAA3-506D1A48D09D}"/>
              </c:ext>
            </c:extLst>
          </c:dPt>
          <c:dPt>
            <c:idx val="4"/>
            <c:marker>
              <c:symbol val="circle"/>
              <c:size val="14"/>
              <c:spPr>
                <a:solidFill>
                  <a:srgbClr val="FF40FF">
                    <a:alpha val="49290"/>
                  </a:srgbClr>
                </a:solidFill>
                <a:ln w="19050">
                  <a:solidFill>
                    <a:srgbClr val="FF4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240E-A040-BAA3-506D1A48D09D}"/>
              </c:ext>
            </c:extLst>
          </c:dPt>
          <c:dPt>
            <c:idx val="8"/>
            <c:marker>
              <c:symbol val="circle"/>
              <c:size val="14"/>
              <c:spPr>
                <a:solidFill>
                  <a:srgbClr val="00B050">
                    <a:alpha val="49290"/>
                  </a:srgbClr>
                </a:solidFill>
                <a:ln w="1905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40E-A040-BAA3-506D1A48D09D}"/>
              </c:ext>
            </c:extLst>
          </c:dPt>
          <c:dPt>
            <c:idx val="22"/>
            <c:marker>
              <c:symbol val="circle"/>
              <c:size val="14"/>
              <c:spPr>
                <a:solidFill>
                  <a:schemeClr val="tx1">
                    <a:alpha val="49290"/>
                  </a:schemeClr>
                </a:solidFill>
                <a:ln w="1905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240E-A040-BAA3-506D1A48D09D}"/>
              </c:ext>
            </c:extLst>
          </c:dPt>
          <c:dPt>
            <c:idx val="23"/>
            <c:marker>
              <c:symbol val="circle"/>
              <c:size val="14"/>
              <c:spPr>
                <a:solidFill>
                  <a:schemeClr val="tx1">
                    <a:alpha val="49290"/>
                  </a:schemeClr>
                </a:solidFill>
                <a:ln w="1905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240E-A040-BAA3-506D1A48D09D}"/>
              </c:ext>
            </c:extLst>
          </c:dPt>
          <c:xVal>
            <c:numRef>
              <c:f>'shRNA Raw Data'!$U$3:$U$29</c:f>
              <c:numCache>
                <c:formatCode>General</c:formatCode>
                <c:ptCount val="27"/>
                <c:pt idx="0">
                  <c:v>1.7385431697931697</c:v>
                </c:pt>
                <c:pt idx="1">
                  <c:v>2.548510422830133</c:v>
                </c:pt>
                <c:pt idx="2">
                  <c:v>2.1850649350649349</c:v>
                </c:pt>
                <c:pt idx="3">
                  <c:v>1.505050505050505</c:v>
                </c:pt>
                <c:pt idx="4">
                  <c:v>0.77777777777777779</c:v>
                </c:pt>
                <c:pt idx="5">
                  <c:v>2.3722222222222222</c:v>
                </c:pt>
                <c:pt idx="6">
                  <c:v>2.4063492063492062</c:v>
                </c:pt>
                <c:pt idx="7">
                  <c:v>0.82684766214177974</c:v>
                </c:pt>
                <c:pt idx="8">
                  <c:v>0.45305194805194809</c:v>
                </c:pt>
                <c:pt idx="9">
                  <c:v>3.3890476190476191</c:v>
                </c:pt>
                <c:pt idx="10">
                  <c:v>2.2478956228956228</c:v>
                </c:pt>
                <c:pt idx="11">
                  <c:v>1.9292328042328044</c:v>
                </c:pt>
                <c:pt idx="12">
                  <c:v>2.1259259259259262</c:v>
                </c:pt>
                <c:pt idx="13">
                  <c:v>2.1734672190554543</c:v>
                </c:pt>
                <c:pt idx="14">
                  <c:v>3.1345899470899474</c:v>
                </c:pt>
                <c:pt idx="15">
                  <c:v>2.1766330891330887</c:v>
                </c:pt>
                <c:pt idx="16">
                  <c:v>1.9365329115329113</c:v>
                </c:pt>
                <c:pt idx="17">
                  <c:v>1.9602564102564102</c:v>
                </c:pt>
                <c:pt idx="18">
                  <c:v>2.8088383838383839</c:v>
                </c:pt>
                <c:pt idx="19">
                  <c:v>3.4892463092463095</c:v>
                </c:pt>
                <c:pt idx="20">
                  <c:v>3.285353535353535</c:v>
                </c:pt>
                <c:pt idx="21">
                  <c:v>3.6891369047619049</c:v>
                </c:pt>
                <c:pt idx="22">
                  <c:v>2.1922619047619043</c:v>
                </c:pt>
                <c:pt idx="23">
                  <c:v>1.2036507936507936</c:v>
                </c:pt>
                <c:pt idx="24">
                  <c:v>1.8449494949494951</c:v>
                </c:pt>
                <c:pt idx="25">
                  <c:v>1.5119658119658119</c:v>
                </c:pt>
                <c:pt idx="26">
                  <c:v>2.4480820105820107</c:v>
                </c:pt>
              </c:numCache>
            </c:numRef>
          </c:xVal>
          <c:yVal>
            <c:numRef>
              <c:f>'shRNA Raw Data'!$V$3:$V$29</c:f>
              <c:numCache>
                <c:formatCode>General</c:formatCode>
                <c:ptCount val="27"/>
                <c:pt idx="0">
                  <c:v>1.1141794999999999</c:v>
                </c:pt>
                <c:pt idx="1">
                  <c:v>1.0959128</c:v>
                </c:pt>
                <c:pt idx="2">
                  <c:v>1.1037028333333334</c:v>
                </c:pt>
                <c:pt idx="3">
                  <c:v>1.0834644</c:v>
                </c:pt>
                <c:pt idx="4">
                  <c:v>0.63571549999999999</c:v>
                </c:pt>
                <c:pt idx="5">
                  <c:v>1.0476846666666668</c:v>
                </c:pt>
                <c:pt idx="6">
                  <c:v>1.1957941999999999</c:v>
                </c:pt>
                <c:pt idx="7">
                  <c:v>0.9368015999999999</c:v>
                </c:pt>
                <c:pt idx="8">
                  <c:v>1.1728726</c:v>
                </c:pt>
                <c:pt idx="9">
                  <c:v>1.1476351666666667</c:v>
                </c:pt>
                <c:pt idx="10">
                  <c:v>1.2289749999999999</c:v>
                </c:pt>
                <c:pt idx="11">
                  <c:v>1.1397493333333333</c:v>
                </c:pt>
                <c:pt idx="12">
                  <c:v>1.0249519999999999</c:v>
                </c:pt>
                <c:pt idx="13">
                  <c:v>0.94494675000000028</c:v>
                </c:pt>
                <c:pt idx="14">
                  <c:v>1.3130526666666666</c:v>
                </c:pt>
                <c:pt idx="15">
                  <c:v>1.0935598333333332</c:v>
                </c:pt>
                <c:pt idx="16">
                  <c:v>1.0520249090909091</c:v>
                </c:pt>
                <c:pt idx="17">
                  <c:v>1.1710525000000003</c:v>
                </c:pt>
                <c:pt idx="18">
                  <c:v>1.4706620000000001</c:v>
                </c:pt>
                <c:pt idx="19">
                  <c:v>1.4191852</c:v>
                </c:pt>
                <c:pt idx="20">
                  <c:v>1.400563</c:v>
                </c:pt>
                <c:pt idx="21">
                  <c:v>1.1959023333333334</c:v>
                </c:pt>
                <c:pt idx="22">
                  <c:v>0.66679183333333336</c:v>
                </c:pt>
                <c:pt idx="23">
                  <c:v>0.6425327999999999</c:v>
                </c:pt>
                <c:pt idx="24">
                  <c:v>1.0453013333333334</c:v>
                </c:pt>
                <c:pt idx="25">
                  <c:v>0.76817330769230763</c:v>
                </c:pt>
                <c:pt idx="26">
                  <c:v>0.74942750000000002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80-4449-82D8-A5FC19835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275120"/>
        <c:axId val="410581071"/>
      </c:scatterChart>
      <c:valAx>
        <c:axId val="670275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chemeClr val="tx1"/>
                    </a:solidFill>
                  </a:rPr>
                  <a:t>Count</a:t>
                </a:r>
              </a:p>
            </c:rich>
          </c:tx>
          <c:layout>
            <c:manualLayout>
              <c:xMode val="edge"/>
              <c:yMode val="edge"/>
              <c:x val="0.44321366999002798"/>
              <c:y val="0.937343631050318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581071"/>
        <c:crosses val="autoZero"/>
        <c:crossBetween val="midCat"/>
      </c:valAx>
      <c:valAx>
        <c:axId val="4105810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chemeClr val="tx1"/>
                    </a:solidFill>
                  </a:rPr>
                  <a:t>Area</a:t>
                </a:r>
                <a:r>
                  <a:rPr lang="en-US" sz="1400" b="1" baseline="0">
                    <a:solidFill>
                      <a:schemeClr val="tx1"/>
                    </a:solidFill>
                  </a:rPr>
                  <a:t> </a:t>
                </a:r>
                <a:endParaRPr lang="en-US" sz="14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"/>
              <c:y val="0.449371577318828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27512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Mean Granule</a:t>
            </a:r>
            <a:r>
              <a:rPr lang="en-US" sz="1600" b="1" baseline="0">
                <a:solidFill>
                  <a:schemeClr val="tx1"/>
                </a:solidFill>
              </a:rPr>
              <a:t> Count vs Area</a:t>
            </a:r>
            <a:endParaRPr lang="en-US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40FF">
                  <a:alpha val="49290"/>
                </a:srgb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4018764546428856E-2"/>
                  <c:y val="-9.3038429999692307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21-B147-83BC-18DAF8DC3DC8}"/>
                </c:ext>
              </c:extLst>
            </c:dLbl>
            <c:dLbl>
              <c:idx val="3"/>
              <c:layout>
                <c:manualLayout>
                  <c:x val="-0.13551413636520782"/>
                  <c:y val="-1.2405123999958976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521-B147-83BC-18DAF8DC3DC8}"/>
                </c:ext>
              </c:extLst>
            </c:dLbl>
            <c:dLbl>
              <c:idx val="4"/>
              <c:layout>
                <c:manualLayout>
                  <c:x val="-9.7854206221960852E-2"/>
                  <c:y val="8.6665862399664645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04-5E41-B9FB-8F478E438B67}"/>
                </c:ext>
              </c:extLst>
            </c:dLbl>
            <c:dLbl>
              <c:idx val="8"/>
              <c:layout>
                <c:manualLayout>
                  <c:x val="-1.6336247130973421E-2"/>
                  <c:y val="-7.2766876937794142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004-5E41-B9FB-8F478E438B67}"/>
                </c:ext>
              </c:extLst>
            </c:dLbl>
            <c:dLbl>
              <c:idx val="9"/>
              <c:layout>
                <c:manualLayout>
                  <c:x val="8.4090798411907891E-2"/>
                  <c:y val="-5.5557843459144387E-17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004-5E41-B9FB-8F478E438B67}"/>
                </c:ext>
              </c:extLst>
            </c:dLbl>
            <c:dLbl>
              <c:idx val="14"/>
              <c:layout>
                <c:manualLayout>
                  <c:x val="0.15461856482189507"/>
                  <c:y val="0.16970591863708401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004-5E41-B9FB-8F478E438B67}"/>
                </c:ext>
              </c:extLst>
            </c:dLbl>
            <c:dLbl>
              <c:idx val="18"/>
              <c:layout>
                <c:manualLayout>
                  <c:x val="-0.22243372483149801"/>
                  <c:y val="-2.7274165495245632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004-5E41-B9FB-8F478E438B67}"/>
                </c:ext>
              </c:extLst>
            </c:dLbl>
            <c:dLbl>
              <c:idx val="19"/>
              <c:layout>
                <c:manualLayout>
                  <c:x val="7.3240372810371199E-2"/>
                  <c:y val="-5.7578793823296337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004-5E41-B9FB-8F478E438B67}"/>
                </c:ext>
              </c:extLst>
            </c:dLbl>
            <c:dLbl>
              <c:idx val="20"/>
              <c:layout>
                <c:manualLayout>
                  <c:x val="-8.409079841190778E-2"/>
                  <c:y val="-6.3639719488906482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004-5E41-B9FB-8F478E438B67}"/>
                </c:ext>
              </c:extLst>
            </c:dLbl>
            <c:dLbl>
              <c:idx val="21"/>
              <c:layout>
                <c:manualLayout>
                  <c:x val="3.2551276804609466E-2"/>
                  <c:y val="-5.7578793823296393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004-5E41-B9FB-8F478E438B67}"/>
                </c:ext>
              </c:extLst>
            </c:dLbl>
            <c:dLbl>
              <c:idx val="23"/>
              <c:layout>
                <c:manualLayout>
                  <c:x val="-8.154517185163402E-3"/>
                  <c:y val="5.2618559314082103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004-5E41-B9FB-8F478E438B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'shRNA Raw Data'!$U$3:$U$29</c:f>
              <c:numCache>
                <c:formatCode>General</c:formatCode>
                <c:ptCount val="27"/>
                <c:pt idx="0">
                  <c:v>1.7385431697931697</c:v>
                </c:pt>
                <c:pt idx="1">
                  <c:v>2.548510422830133</c:v>
                </c:pt>
                <c:pt idx="2">
                  <c:v>2.1850649350649349</c:v>
                </c:pt>
                <c:pt idx="3">
                  <c:v>1.505050505050505</c:v>
                </c:pt>
                <c:pt idx="4">
                  <c:v>0.77777777777777779</c:v>
                </c:pt>
                <c:pt idx="5">
                  <c:v>2.3722222222222222</c:v>
                </c:pt>
                <c:pt idx="6">
                  <c:v>2.4063492063492062</c:v>
                </c:pt>
                <c:pt idx="7">
                  <c:v>0.82684766214177974</c:v>
                </c:pt>
                <c:pt idx="8">
                  <c:v>0.45305194805194809</c:v>
                </c:pt>
                <c:pt idx="9">
                  <c:v>3.3890476190476191</c:v>
                </c:pt>
                <c:pt idx="10">
                  <c:v>2.2478956228956228</c:v>
                </c:pt>
                <c:pt idx="11">
                  <c:v>1.9292328042328044</c:v>
                </c:pt>
                <c:pt idx="12">
                  <c:v>2.1259259259259262</c:v>
                </c:pt>
                <c:pt idx="13">
                  <c:v>2.1734672190554543</c:v>
                </c:pt>
                <c:pt idx="14">
                  <c:v>3.1345899470899474</c:v>
                </c:pt>
                <c:pt idx="15">
                  <c:v>2.1766330891330887</c:v>
                </c:pt>
                <c:pt idx="16">
                  <c:v>1.9365329115329113</c:v>
                </c:pt>
                <c:pt idx="17">
                  <c:v>1.9602564102564102</c:v>
                </c:pt>
                <c:pt idx="18">
                  <c:v>2.8088383838383839</c:v>
                </c:pt>
                <c:pt idx="19">
                  <c:v>3.4892463092463095</c:v>
                </c:pt>
                <c:pt idx="20">
                  <c:v>3.285353535353535</c:v>
                </c:pt>
                <c:pt idx="21">
                  <c:v>3.6891369047619049</c:v>
                </c:pt>
                <c:pt idx="22">
                  <c:v>2.1922619047619043</c:v>
                </c:pt>
                <c:pt idx="23">
                  <c:v>1.2036507936507936</c:v>
                </c:pt>
                <c:pt idx="24">
                  <c:v>1.8449494949494951</c:v>
                </c:pt>
                <c:pt idx="25">
                  <c:v>1.5119658119658119</c:v>
                </c:pt>
                <c:pt idx="26">
                  <c:v>2.4480820105820107</c:v>
                </c:pt>
              </c:numCache>
            </c:numRef>
          </c:xVal>
          <c:yVal>
            <c:numRef>
              <c:f>'shRNA Raw Data'!$V$3:$V$29</c:f>
              <c:numCache>
                <c:formatCode>General</c:formatCode>
                <c:ptCount val="27"/>
                <c:pt idx="0">
                  <c:v>1.1141794999999999</c:v>
                </c:pt>
                <c:pt idx="1">
                  <c:v>1.0959128</c:v>
                </c:pt>
                <c:pt idx="2">
                  <c:v>1.1037028333333334</c:v>
                </c:pt>
                <c:pt idx="3">
                  <c:v>1.0834644</c:v>
                </c:pt>
                <c:pt idx="4">
                  <c:v>0.63571549999999999</c:v>
                </c:pt>
                <c:pt idx="5">
                  <c:v>1.0476846666666668</c:v>
                </c:pt>
                <c:pt idx="6">
                  <c:v>1.1957941999999999</c:v>
                </c:pt>
                <c:pt idx="7">
                  <c:v>0.9368015999999999</c:v>
                </c:pt>
                <c:pt idx="8">
                  <c:v>1.1728726</c:v>
                </c:pt>
                <c:pt idx="9">
                  <c:v>1.1476351666666667</c:v>
                </c:pt>
                <c:pt idx="10">
                  <c:v>1.2289749999999999</c:v>
                </c:pt>
                <c:pt idx="11">
                  <c:v>1.1397493333333333</c:v>
                </c:pt>
                <c:pt idx="12">
                  <c:v>1.0249519999999999</c:v>
                </c:pt>
                <c:pt idx="13">
                  <c:v>0.94494675000000028</c:v>
                </c:pt>
                <c:pt idx="14">
                  <c:v>1.3130526666666666</c:v>
                </c:pt>
                <c:pt idx="15">
                  <c:v>1.0935598333333332</c:v>
                </c:pt>
                <c:pt idx="16">
                  <c:v>1.0520249090909091</c:v>
                </c:pt>
                <c:pt idx="17">
                  <c:v>1.1710525000000003</c:v>
                </c:pt>
                <c:pt idx="18">
                  <c:v>1.4706620000000001</c:v>
                </c:pt>
                <c:pt idx="19">
                  <c:v>1.4191852</c:v>
                </c:pt>
                <c:pt idx="20">
                  <c:v>1.400563</c:v>
                </c:pt>
                <c:pt idx="21">
                  <c:v>1.1959023333333334</c:v>
                </c:pt>
                <c:pt idx="22">
                  <c:v>0.66679183333333336</c:v>
                </c:pt>
                <c:pt idx="23">
                  <c:v>0.6425327999999999</c:v>
                </c:pt>
                <c:pt idx="24">
                  <c:v>1.0453013333333334</c:v>
                </c:pt>
                <c:pt idx="25">
                  <c:v>0.76817330769230763</c:v>
                </c:pt>
                <c:pt idx="26">
                  <c:v>0.74942750000000002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04-5E41-B9FB-8F478E438B67}"/>
            </c:ext>
          </c:extLst>
        </c:ser>
        <c:dLbls>
          <c:dLblPos val="r"/>
          <c:showLegendKey val="0"/>
          <c:showVal val="1"/>
          <c:showCatName val="1"/>
          <c:showSerName val="0"/>
          <c:showPercent val="0"/>
          <c:showBubbleSize val="0"/>
        </c:dLbls>
        <c:axId val="670275120"/>
        <c:axId val="410581071"/>
      </c:scatterChart>
      <c:valAx>
        <c:axId val="67027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581071"/>
        <c:crosses val="autoZero"/>
        <c:crossBetween val="midCat"/>
      </c:valAx>
      <c:valAx>
        <c:axId val="41058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27512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'shRNA Raw Data'!$W$36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'shRNA Raw Data'!$V$37:$V$40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'shRNA Raw Data'!$W$37:$W$40</c:f>
              <c:numCache>
                <c:formatCode>General</c:formatCode>
                <c:ptCount val="4"/>
                <c:pt idx="0">
                  <c:v>1.7385431697931697</c:v>
                </c:pt>
                <c:pt idx="1">
                  <c:v>1.7385431697931697</c:v>
                </c:pt>
                <c:pt idx="2">
                  <c:v>1.7385431697931697</c:v>
                </c:pt>
                <c:pt idx="3">
                  <c:v>1.7385431697931697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99-2942-B7FF-2F977F05C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337855"/>
        <c:axId val="125410751"/>
      </c:lineChart>
      <c:catAx>
        <c:axId val="174337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10751"/>
        <c:crosses val="autoZero"/>
        <c:auto val="1"/>
        <c:lblAlgn val="ctr"/>
        <c:lblOffset val="100"/>
        <c:noMultiLvlLbl val="0"/>
      </c:catAx>
      <c:valAx>
        <c:axId val="12541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37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486833</xdr:colOff>
      <xdr:row>24</xdr:row>
      <xdr:rowOff>4234</xdr:rowOff>
    </xdr:from>
    <xdr:to>
      <xdr:col>32</xdr:col>
      <xdr:colOff>436033</xdr:colOff>
      <xdr:row>44</xdr:row>
      <xdr:rowOff>63501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D4C51B-1B03-4BB1-BB04-EEE235713C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486834</xdr:colOff>
      <xdr:row>1</xdr:row>
      <xdr:rowOff>95249</xdr:rowOff>
    </xdr:from>
    <xdr:to>
      <xdr:col>32</xdr:col>
      <xdr:colOff>436034</xdr:colOff>
      <xdr:row>23</xdr:row>
      <xdr:rowOff>154516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42DD33C-E996-4AEA-AA3C-218BA90EA7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106679</xdr:rowOff>
    </xdr:from>
    <xdr:to>
      <xdr:col>9</xdr:col>
      <xdr:colOff>518160</xdr:colOff>
      <xdr:row>20</xdr:row>
      <xdr:rowOff>106679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DA7033-4662-4E30-BA75-4D2DC77C4F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137160</xdr:colOff>
      <xdr:row>21</xdr:row>
      <xdr:rowOff>15240</xdr:rowOff>
    </xdr:from>
    <xdr:to>
      <xdr:col>9</xdr:col>
      <xdr:colOff>502920</xdr:colOff>
      <xdr:row>41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ABABA9-49A1-4A29-A668-32A3A7D513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338663</xdr:colOff>
      <xdr:row>7</xdr:row>
      <xdr:rowOff>135465</xdr:rowOff>
    </xdr:from>
    <xdr:to>
      <xdr:col>29</xdr:col>
      <xdr:colOff>309217</xdr:colOff>
      <xdr:row>29</xdr:row>
      <xdr:rowOff>77304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576196-5078-E511-0FB2-B812393E3D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585304</xdr:colOff>
      <xdr:row>6</xdr:row>
      <xdr:rowOff>176695</xdr:rowOff>
    </xdr:from>
    <xdr:to>
      <xdr:col>37</xdr:col>
      <xdr:colOff>555858</xdr:colOff>
      <xdr:row>28</xdr:row>
      <xdr:rowOff>118534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EB1545-D158-894D-B486-3E8C4119FB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658091</xdr:colOff>
      <xdr:row>27</xdr:row>
      <xdr:rowOff>163945</xdr:rowOff>
    </xdr:from>
    <xdr:to>
      <xdr:col>27</xdr:col>
      <xdr:colOff>542636</xdr:colOff>
      <xdr:row>41</xdr:row>
      <xdr:rowOff>159327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32A472-1D00-EDB8-5FDA-044D3437DD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B1ADF-E578-4AB4-8C33-F69E82B230EC}">
  <dimension ref="A1:R31"/>
  <sheetViews>
    <sheetView tabSelected="1" zoomScale="107" zoomScaleNormal="72" workbookViewId="0">
      <selection activeCell="L18" sqref="L18"/>
    </sheetView>
  </sheetViews>
  <sheetFormatPr baseColWidth="10" defaultColWidth="8.83203125" defaultRowHeight="15" x14ac:dyDescent="0.2"/>
  <cols>
    <col min="1" max="1" width="17.6640625" bestFit="1" customWidth="1"/>
    <col min="2" max="2" width="14" bestFit="1" customWidth="1"/>
    <col min="3" max="3" width="19.1640625" bestFit="1" customWidth="1"/>
    <col min="4" max="4" width="12.1640625" bestFit="1" customWidth="1"/>
    <col min="5" max="5" width="16.33203125" bestFit="1" customWidth="1"/>
    <col min="6" max="6" width="8.33203125" bestFit="1" customWidth="1"/>
    <col min="7" max="7" width="10.1640625" bestFit="1" customWidth="1"/>
    <col min="8" max="8" width="19" bestFit="1" customWidth="1"/>
    <col min="9" max="9" width="15.5" bestFit="1" customWidth="1"/>
    <col min="11" max="12" width="19" bestFit="1" customWidth="1"/>
    <col min="13" max="13" width="12.1640625" bestFit="1" customWidth="1"/>
    <col min="15" max="16" width="16.1640625" bestFit="1" customWidth="1"/>
    <col min="17" max="17" width="12.1640625" bestFit="1" customWidth="1"/>
    <col min="18" max="18" width="21.6640625" bestFit="1" customWidth="1"/>
  </cols>
  <sheetData>
    <row r="1" spans="1:18" x14ac:dyDescent="0.2">
      <c r="A1" s="1" t="s">
        <v>54</v>
      </c>
      <c r="B1" t="s">
        <v>53</v>
      </c>
      <c r="C1" t="s">
        <v>55</v>
      </c>
      <c r="D1" t="s">
        <v>57</v>
      </c>
      <c r="E1" t="s">
        <v>56</v>
      </c>
      <c r="F1" t="s">
        <v>62</v>
      </c>
      <c r="G1" t="s">
        <v>64</v>
      </c>
      <c r="H1" t="s">
        <v>83</v>
      </c>
      <c r="I1" t="s">
        <v>84</v>
      </c>
      <c r="K1" t="s">
        <v>58</v>
      </c>
      <c r="L1" t="s">
        <v>59</v>
      </c>
      <c r="M1" t="s">
        <v>61</v>
      </c>
      <c r="O1" t="s">
        <v>65</v>
      </c>
      <c r="P1" t="s">
        <v>66</v>
      </c>
      <c r="Q1" t="s">
        <v>61</v>
      </c>
    </row>
    <row r="2" spans="1:18" x14ac:dyDescent="0.2">
      <c r="A2" t="s">
        <v>23</v>
      </c>
      <c r="B2">
        <v>0.13015873015873014</v>
      </c>
      <c r="C2">
        <v>0.1291482260749714</v>
      </c>
      <c r="D2">
        <v>0.16149479999999999</v>
      </c>
      <c r="E2">
        <v>0.15153246307210874</v>
      </c>
      <c r="F2">
        <v>39</v>
      </c>
      <c r="G2">
        <v>5</v>
      </c>
      <c r="H2">
        <f>C2/SQRT(6)</f>
        <v>5.2724542511547574E-2</v>
      </c>
      <c r="I2">
        <f t="shared" ref="I2:I12" si="0">E2/(SQRT(G2))</f>
        <v>6.7767377645442356E-2</v>
      </c>
      <c r="K2">
        <f>(C2^2)/6</f>
        <v>2.7798773830519873E-3</v>
      </c>
      <c r="L2">
        <f>(B3-B2)/(SQRT(K3+K2))</f>
        <v>15.405182530147091</v>
      </c>
      <c r="M2">
        <f>(_xlfn.T.DIST.2T(ABS(L2),5))</f>
        <v>2.0919907473138427E-5</v>
      </c>
      <c r="O2">
        <f>(E2^2)/G2</f>
        <v>4.5924174729399993E-3</v>
      </c>
      <c r="P2">
        <f>(D3-D2)/(SQRT(O3+O2))</f>
        <v>13.35706751234709</v>
      </c>
      <c r="Q2">
        <f>_xlfn.T.DIST.2T(ABS(P2),5)*2</f>
        <v>8.4148166686771395E-5</v>
      </c>
      <c r="R2" t="s">
        <v>63</v>
      </c>
    </row>
    <row r="3" spans="1:18" x14ac:dyDescent="0.2">
      <c r="A3" t="s">
        <v>70</v>
      </c>
      <c r="B3">
        <v>1.7385431697931697</v>
      </c>
      <c r="C3">
        <v>0.99534655450142906</v>
      </c>
      <c r="D3">
        <v>1.1141794999999999</v>
      </c>
      <c r="E3">
        <v>0.32079316220679743</v>
      </c>
      <c r="F3">
        <v>122</v>
      </c>
      <c r="G3">
        <v>208</v>
      </c>
      <c r="H3">
        <f t="shared" ref="H3:H12" si="1">C3/SQRT(F3)</f>
        <v>9.0114442882637202E-2</v>
      </c>
      <c r="I3">
        <f t="shared" si="0"/>
        <v>2.2243003752977789E-2</v>
      </c>
      <c r="K3">
        <f>(C3^2)/F3</f>
        <v>8.1206128160480843E-3</v>
      </c>
      <c r="L3">
        <f>(B3-B$3)/(SQRT(K3+K$3))</f>
        <v>0</v>
      </c>
      <c r="M3">
        <f t="shared" ref="M3:M12" si="2">(_xlfn.T.DIST.2T(ABS(L3),5))</f>
        <v>1</v>
      </c>
      <c r="O3">
        <f>(E3^2)/G3</f>
        <v>4.9475121595498391E-4</v>
      </c>
      <c r="P3">
        <f>(D3-D$3)/(SQRT(O3+O$3))</f>
        <v>0</v>
      </c>
      <c r="Q3">
        <f>_xlfn.T.DIST.2T(ABS(P3),5)</f>
        <v>1</v>
      </c>
      <c r="R3" t="s">
        <v>60</v>
      </c>
    </row>
    <row r="4" spans="1:18" x14ac:dyDescent="0.2">
      <c r="A4" t="s">
        <v>92</v>
      </c>
      <c r="B4">
        <v>0.45305194805194809</v>
      </c>
      <c r="C4">
        <v>0.26343352346504467</v>
      </c>
      <c r="D4">
        <v>1.1728726</v>
      </c>
      <c r="E4">
        <v>0.63722591491817104</v>
      </c>
      <c r="F4">
        <v>36</v>
      </c>
      <c r="G4">
        <v>15</v>
      </c>
      <c r="H4">
        <f t="shared" si="1"/>
        <v>4.3905587244174114E-2</v>
      </c>
      <c r="I4">
        <f t="shared" si="0"/>
        <v>0.16453102374999071</v>
      </c>
      <c r="K4">
        <f t="shared" ref="K4:K10" si="3">(C4^2)/F4</f>
        <v>1.9277005912557844E-3</v>
      </c>
      <c r="L4">
        <f t="shared" ref="L4:L10" si="4">(B4-B$3)/(SQRT(K4+K$3))</f>
        <v>-12.82397105735628</v>
      </c>
      <c r="M4">
        <f t="shared" si="2"/>
        <v>5.1322170285312212E-5</v>
      </c>
      <c r="O4">
        <f t="shared" ref="O4:O10" si="5">(E4^2)/G4</f>
        <v>2.7070457776220011E-2</v>
      </c>
      <c r="P4">
        <f t="shared" ref="P4:P10" si="6">(D4-D$3)/(SQRT(O4+O$3))</f>
        <v>0.35351382577098056</v>
      </c>
      <c r="Q4">
        <f>_xlfn.T.DIST.2T(ABS(P4),5)</f>
        <v>0.73812049552368841</v>
      </c>
      <c r="R4" t="s">
        <v>60</v>
      </c>
    </row>
    <row r="5" spans="1:18" x14ac:dyDescent="0.2">
      <c r="A5" t="s">
        <v>94</v>
      </c>
      <c r="B5">
        <v>2.38904761904762</v>
      </c>
      <c r="C5">
        <v>1.0662780967420422</v>
      </c>
      <c r="D5">
        <v>1.1476351666666667</v>
      </c>
      <c r="E5">
        <v>0.1698313105047671</v>
      </c>
      <c r="F5">
        <v>35</v>
      </c>
      <c r="G5">
        <v>112</v>
      </c>
      <c r="H5">
        <f t="shared" si="1"/>
        <v>0.18023389403707235</v>
      </c>
      <c r="I5">
        <f t="shared" si="0"/>
        <v>1.6047550443850183E-2</v>
      </c>
      <c r="K5">
        <f t="shared" si="3"/>
        <v>3.2484256559766625E-2</v>
      </c>
      <c r="L5">
        <f t="shared" si="4"/>
        <v>3.2282057928038381</v>
      </c>
      <c r="M5">
        <f t="shared" si="2"/>
        <v>2.3252206293020477E-2</v>
      </c>
      <c r="O5">
        <f t="shared" si="5"/>
        <v>2.5752387524791625E-4</v>
      </c>
      <c r="P5">
        <f t="shared" si="6"/>
        <v>1.2197795484048295</v>
      </c>
      <c r="Q5">
        <f t="shared" ref="Q5:Q10" si="7">_xlfn.T.DIST.2T(ABS(P5),5)</f>
        <v>0.27694041125344043</v>
      </c>
      <c r="R5" t="s">
        <v>60</v>
      </c>
    </row>
    <row r="6" spans="1:18" x14ac:dyDescent="0.2">
      <c r="A6" t="s">
        <v>96</v>
      </c>
      <c r="B6">
        <v>2.2478956228956228</v>
      </c>
      <c r="C6">
        <v>1.1671108698573576</v>
      </c>
      <c r="D6">
        <v>1.2289749999999999</v>
      </c>
      <c r="E6">
        <v>0.27272235455569055</v>
      </c>
      <c r="F6">
        <v>40</v>
      </c>
      <c r="G6">
        <v>86</v>
      </c>
      <c r="H6">
        <f t="shared" si="1"/>
        <v>0.18453643153448032</v>
      </c>
      <c r="I6">
        <f t="shared" si="0"/>
        <v>2.9408407806311498E-2</v>
      </c>
      <c r="K6">
        <f t="shared" si="3"/>
        <v>3.4053694563479946E-2</v>
      </c>
      <c r="L6">
        <f t="shared" si="4"/>
        <v>2.4802440852263201</v>
      </c>
      <c r="M6">
        <f t="shared" si="2"/>
        <v>5.5824381199295434E-2</v>
      </c>
      <c r="O6">
        <f t="shared" si="5"/>
        <v>8.6485444970232298E-4</v>
      </c>
      <c r="P6">
        <f t="shared" si="6"/>
        <v>3.1132814296941036</v>
      </c>
      <c r="Q6">
        <f t="shared" si="7"/>
        <v>2.6452406798195424E-2</v>
      </c>
      <c r="R6" t="s">
        <v>60</v>
      </c>
    </row>
    <row r="7" spans="1:18" x14ac:dyDescent="0.2">
      <c r="A7" t="s">
        <v>95</v>
      </c>
      <c r="B7">
        <v>2.1922619047619043</v>
      </c>
      <c r="C7">
        <v>1.3740310438719394</v>
      </c>
      <c r="D7">
        <v>0.66679183333333336</v>
      </c>
      <c r="E7">
        <v>0.35901981063914373</v>
      </c>
      <c r="F7">
        <v>39</v>
      </c>
      <c r="G7">
        <v>89</v>
      </c>
      <c r="H7">
        <f t="shared" si="1"/>
        <v>0.22002105432609034</v>
      </c>
      <c r="I7">
        <f t="shared" si="0"/>
        <v>3.8056023815777718E-2</v>
      </c>
      <c r="K7">
        <f t="shared" si="3"/>
        <v>4.8409264346764395E-2</v>
      </c>
      <c r="L7">
        <f t="shared" si="4"/>
        <v>1.9083045757817465</v>
      </c>
      <c r="M7">
        <f t="shared" si="2"/>
        <v>0.11463531127209815</v>
      </c>
      <c r="O7">
        <f t="shared" si="5"/>
        <v>1.4482609486670406E-3</v>
      </c>
      <c r="P7">
        <f t="shared" si="6"/>
        <v>-10.14953738832811</v>
      </c>
      <c r="Q7">
        <f t="shared" si="7"/>
        <v>1.5919551432964552E-4</v>
      </c>
      <c r="R7" t="s">
        <v>60</v>
      </c>
    </row>
    <row r="8" spans="1:18" x14ac:dyDescent="0.2">
      <c r="A8" t="s">
        <v>97</v>
      </c>
      <c r="B8">
        <v>1.2036507936507936</v>
      </c>
      <c r="C8">
        <v>1.1605909716072091</v>
      </c>
      <c r="D8">
        <v>0.6425327999999999</v>
      </c>
      <c r="E8">
        <v>0.30740691053585656</v>
      </c>
      <c r="F8">
        <v>30</v>
      </c>
      <c r="G8">
        <v>36</v>
      </c>
      <c r="H8">
        <f t="shared" si="1"/>
        <v>0.21189395172870207</v>
      </c>
      <c r="I8">
        <f t="shared" si="0"/>
        <v>5.1234485089309424E-2</v>
      </c>
      <c r="K8">
        <f t="shared" si="3"/>
        <v>4.4899046779205525E-2</v>
      </c>
      <c r="L8">
        <f t="shared" si="4"/>
        <v>-2.3229932099391286</v>
      </c>
      <c r="M8">
        <f t="shared" si="2"/>
        <v>6.780027731449112E-2</v>
      </c>
      <c r="O8">
        <f t="shared" si="5"/>
        <v>2.6249724623666703E-3</v>
      </c>
      <c r="P8">
        <f t="shared" si="6"/>
        <v>-8.4442043662819266</v>
      </c>
      <c r="Q8">
        <f t="shared" si="7"/>
        <v>3.8227064280835639E-4</v>
      </c>
      <c r="R8" t="s">
        <v>60</v>
      </c>
    </row>
    <row r="9" spans="1:18" x14ac:dyDescent="0.2">
      <c r="A9" t="s">
        <v>98</v>
      </c>
      <c r="B9">
        <v>2.8088383838383839</v>
      </c>
      <c r="C9">
        <v>0.67111145508355952</v>
      </c>
      <c r="D9">
        <v>1.4706620000000001</v>
      </c>
      <c r="E9">
        <v>0.15424316020005555</v>
      </c>
      <c r="F9">
        <v>49</v>
      </c>
      <c r="G9">
        <v>139</v>
      </c>
      <c r="H9">
        <f t="shared" si="1"/>
        <v>9.587306501193707E-2</v>
      </c>
      <c r="I9">
        <f t="shared" si="0"/>
        <v>1.3082734096054141E-2</v>
      </c>
      <c r="K9">
        <f t="shared" si="3"/>
        <v>9.1916445947831122E-3</v>
      </c>
      <c r="L9">
        <f t="shared" si="4"/>
        <v>8.134422634615996</v>
      </c>
      <c r="M9">
        <f t="shared" si="2"/>
        <v>4.5582613668986287E-4</v>
      </c>
      <c r="O9">
        <f t="shared" si="5"/>
        <v>1.7115793142805755E-4</v>
      </c>
      <c r="P9">
        <f t="shared" si="6"/>
        <v>13.814358570183558</v>
      </c>
      <c r="Q9">
        <f t="shared" si="7"/>
        <v>3.5692038337717688E-5</v>
      </c>
      <c r="R9" t="s">
        <v>60</v>
      </c>
    </row>
    <row r="10" spans="1:18" x14ac:dyDescent="0.2">
      <c r="A10" t="s">
        <v>99</v>
      </c>
      <c r="B10">
        <v>2.6891369047619</v>
      </c>
      <c r="C10">
        <v>0.66041398420022246</v>
      </c>
      <c r="D10">
        <v>1.1959023333333334</v>
      </c>
      <c r="E10">
        <v>0.22631212519585994</v>
      </c>
      <c r="F10">
        <v>37</v>
      </c>
      <c r="G10">
        <v>138</v>
      </c>
      <c r="H10">
        <f t="shared" si="1"/>
        <v>0.10857139020481281</v>
      </c>
      <c r="I10">
        <f t="shared" si="0"/>
        <v>1.9264967456286732E-2</v>
      </c>
      <c r="K10">
        <f t="shared" si="3"/>
        <v>1.1787746771005721E-2</v>
      </c>
      <c r="L10">
        <f t="shared" si="4"/>
        <v>6.7371653983767903</v>
      </c>
      <c r="M10">
        <f t="shared" si="2"/>
        <v>1.0927036474683424E-3</v>
      </c>
      <c r="O10">
        <f t="shared" si="5"/>
        <v>3.7113897109178687E-4</v>
      </c>
      <c r="P10">
        <f t="shared" si="6"/>
        <v>2.7772310126752289</v>
      </c>
      <c r="Q10">
        <f t="shared" si="7"/>
        <v>3.9029746968797803E-2</v>
      </c>
      <c r="R10" t="s">
        <v>60</v>
      </c>
    </row>
    <row r="11" spans="1:18" x14ac:dyDescent="0.2">
      <c r="A11" t="s">
        <v>85</v>
      </c>
      <c r="B11">
        <v>2.548510422830133</v>
      </c>
      <c r="C11">
        <v>1.1180780661988026</v>
      </c>
      <c r="D11">
        <v>1.0959128</v>
      </c>
      <c r="E11">
        <v>0.24849908890014083</v>
      </c>
      <c r="F11">
        <v>36</v>
      </c>
      <c r="G11">
        <v>109</v>
      </c>
      <c r="H11">
        <f t="shared" si="1"/>
        <v>0.1863463443664671</v>
      </c>
      <c r="I11">
        <f t="shared" si="0"/>
        <v>2.3801895920206255E-2</v>
      </c>
      <c r="K11">
        <f>(C11^2)/F11</f>
        <v>3.4724960058745945E-2</v>
      </c>
      <c r="L11">
        <f>(B11-B$3)/(SQRT(K11+K$3))</f>
        <v>3.9130417688807109</v>
      </c>
      <c r="M11">
        <f t="shared" si="2"/>
        <v>1.1260480396794862E-2</v>
      </c>
      <c r="O11">
        <f>(E11^2)/G11</f>
        <v>5.6653024939633115E-4</v>
      </c>
      <c r="P11">
        <f>(D11-D$3)/(SQRT(O11+O$3))</f>
        <v>-0.56071839838064896</v>
      </c>
      <c r="Q11">
        <f>_xlfn.T.DIST.2T(ABS(P11),5)</f>
        <v>0.59918481357166042</v>
      </c>
      <c r="R11" t="s">
        <v>60</v>
      </c>
    </row>
    <row r="12" spans="1:18" x14ac:dyDescent="0.2">
      <c r="A12" t="s">
        <v>86</v>
      </c>
      <c r="B12">
        <v>2.1850649350649349</v>
      </c>
      <c r="C12">
        <v>1.3711419909152873</v>
      </c>
      <c r="D12">
        <v>1.1037028333333334</v>
      </c>
      <c r="E12">
        <v>0.43677369835896318</v>
      </c>
      <c r="F12">
        <v>41</v>
      </c>
      <c r="G12">
        <v>77</v>
      </c>
      <c r="H12">
        <f t="shared" si="1"/>
        <v>0.21413640280467336</v>
      </c>
      <c r="I12">
        <f t="shared" si="0"/>
        <v>4.9774982447395463E-2</v>
      </c>
      <c r="K12">
        <f>(C12^2)/F12</f>
        <v>4.5854399006125313E-2</v>
      </c>
      <c r="L12">
        <f>(B12-B$3)/(SQRT(K12+K$3))</f>
        <v>1.9219684751973727</v>
      </c>
      <c r="M12">
        <f t="shared" si="2"/>
        <v>0.11264401773352299</v>
      </c>
      <c r="O12">
        <f>(E12^2)/G12</f>
        <v>2.4775488776385269E-3</v>
      </c>
      <c r="P12">
        <f>(D12-D$3)/(SQRT(O12+O$3))</f>
        <v>-0.19216610994205052</v>
      </c>
      <c r="Q12">
        <f>_xlfn.T.DIST.2T(ABS(P12),5)</f>
        <v>0.85517296906166385</v>
      </c>
      <c r="R12" t="s">
        <v>60</v>
      </c>
    </row>
    <row r="13" spans="1:18" x14ac:dyDescent="0.2">
      <c r="A13" t="s">
        <v>87</v>
      </c>
      <c r="B13">
        <v>1.505050505050505</v>
      </c>
      <c r="C13">
        <v>0.16193151052405461</v>
      </c>
      <c r="D13">
        <v>1.0834644</v>
      </c>
      <c r="E13">
        <v>0.27379821903146068</v>
      </c>
      <c r="F13">
        <v>44</v>
      </c>
      <c r="G13">
        <v>66</v>
      </c>
      <c r="H13">
        <f t="shared" ref="H13:H20" si="8">C13/SQRT(F13)</f>
        <v>2.4412093733807993E-2</v>
      </c>
      <c r="I13">
        <f t="shared" ref="I13:I20" si="9">E13/(SQRT(G13))</f>
        <v>3.3702231008068406E-2</v>
      </c>
      <c r="K13">
        <f t="shared" ref="K13:K20" si="10">(C13^2)/F13</f>
        <v>5.9595032046822751E-4</v>
      </c>
      <c r="L13">
        <f t="shared" ref="L13:L20" si="11">(B13-B$3)/(SQRT(K13+K$3))</f>
        <v>-2.5009246174858148</v>
      </c>
      <c r="M13">
        <f t="shared" ref="M13:M20" si="12">(_xlfn.T.DIST.2T(ABS(L13),5))</f>
        <v>5.4428509268073341E-2</v>
      </c>
      <c r="O13">
        <f t="shared" ref="O13:O20" si="13">(E13^2)/G13</f>
        <v>1.1358403749212077E-3</v>
      </c>
      <c r="P13">
        <f t="shared" ref="P13:P20" si="14">(D13-D$3)/(SQRT(O13+O$3))</f>
        <v>-0.7606403054639983</v>
      </c>
      <c r="Q13">
        <f t="shared" ref="Q13:Q20" si="15">_xlfn.T.DIST.2T(ABS(P13),5)</f>
        <v>0.48118249719037992</v>
      </c>
      <c r="R13" t="s">
        <v>60</v>
      </c>
    </row>
    <row r="14" spans="1:18" x14ac:dyDescent="0.2">
      <c r="A14" t="s">
        <v>88</v>
      </c>
      <c r="B14">
        <v>0.77777777777777779</v>
      </c>
      <c r="C14">
        <v>0.24595492912420711</v>
      </c>
      <c r="D14">
        <v>0.63571549999999999</v>
      </c>
      <c r="E14">
        <v>0.2018097261449506</v>
      </c>
      <c r="F14">
        <v>37</v>
      </c>
      <c r="G14">
        <v>48</v>
      </c>
      <c r="H14">
        <f t="shared" si="8"/>
        <v>4.0434741270780575E-2</v>
      </c>
      <c r="I14">
        <f t="shared" si="9"/>
        <v>2.9128724928717972E-2</v>
      </c>
      <c r="K14">
        <f t="shared" si="10"/>
        <v>1.634968301634966E-3</v>
      </c>
      <c r="L14">
        <f t="shared" si="11"/>
        <v>-9.7272656965249009</v>
      </c>
      <c r="M14">
        <f t="shared" si="12"/>
        <v>1.9515897720531522E-4</v>
      </c>
      <c r="O14">
        <f t="shared" si="13"/>
        <v>8.4848261597291581E-4</v>
      </c>
      <c r="P14">
        <f t="shared" si="14"/>
        <v>-13.054897183139198</v>
      </c>
      <c r="Q14">
        <f t="shared" si="15"/>
        <v>4.7045127404008019E-5</v>
      </c>
      <c r="R14" t="s">
        <v>60</v>
      </c>
    </row>
    <row r="15" spans="1:18" x14ac:dyDescent="0.2">
      <c r="A15" t="s">
        <v>89</v>
      </c>
      <c r="B15">
        <v>2.3722222222222222</v>
      </c>
      <c r="C15">
        <v>0.78780050116106726</v>
      </c>
      <c r="D15">
        <v>1.0476846666666668</v>
      </c>
      <c r="E15">
        <v>0.21011589702035025</v>
      </c>
      <c r="F15">
        <v>31</v>
      </c>
      <c r="G15">
        <v>74</v>
      </c>
      <c r="H15">
        <f t="shared" si="8"/>
        <v>0.14149314694787812</v>
      </c>
      <c r="I15">
        <f t="shared" si="9"/>
        <v>2.442547689115521E-2</v>
      </c>
      <c r="K15">
        <f t="shared" si="10"/>
        <v>2.0020310633213832E-2</v>
      </c>
      <c r="L15">
        <f t="shared" si="11"/>
        <v>3.7774626462031664</v>
      </c>
      <c r="M15">
        <f t="shared" si="12"/>
        <v>1.2923499004911977E-2</v>
      </c>
      <c r="O15">
        <f t="shared" si="13"/>
        <v>5.9660392136035717E-4</v>
      </c>
      <c r="P15">
        <f t="shared" si="14"/>
        <v>-2.0128196022419438</v>
      </c>
      <c r="Q15">
        <f t="shared" si="15"/>
        <v>0.10028480020649537</v>
      </c>
      <c r="R15" t="s">
        <v>60</v>
      </c>
    </row>
    <row r="16" spans="1:18" x14ac:dyDescent="0.2">
      <c r="A16" t="s">
        <v>90</v>
      </c>
      <c r="B16">
        <v>2.4063492063492062</v>
      </c>
      <c r="C16">
        <v>0.43882501903298698</v>
      </c>
      <c r="D16">
        <v>1.1957941999999999</v>
      </c>
      <c r="E16">
        <v>0.3964730122822992</v>
      </c>
      <c r="F16">
        <v>43</v>
      </c>
      <c r="G16">
        <v>105</v>
      </c>
      <c r="H16">
        <f t="shared" si="8"/>
        <v>6.6920188028708555E-2</v>
      </c>
      <c r="I16">
        <f t="shared" si="9"/>
        <v>3.8691804160842051E-2</v>
      </c>
      <c r="K16">
        <f t="shared" si="10"/>
        <v>4.4783115657977069E-3</v>
      </c>
      <c r="L16">
        <f t="shared" si="11"/>
        <v>5.9495429741960271</v>
      </c>
      <c r="M16">
        <f t="shared" si="12"/>
        <v>1.9171811701570421E-3</v>
      </c>
      <c r="O16">
        <f t="shared" si="13"/>
        <v>1.4970557092209541E-3</v>
      </c>
      <c r="P16">
        <f t="shared" si="14"/>
        <v>1.8287097044587042</v>
      </c>
      <c r="Q16">
        <f t="shared" si="15"/>
        <v>0.12697825906136659</v>
      </c>
      <c r="R16" t="s">
        <v>60</v>
      </c>
    </row>
    <row r="17" spans="1:18" x14ac:dyDescent="0.2">
      <c r="A17" t="s">
        <v>91</v>
      </c>
      <c r="B17">
        <v>0.82684766214177974</v>
      </c>
      <c r="C17">
        <v>0.20686164382607367</v>
      </c>
      <c r="D17">
        <v>0.9368015999999999</v>
      </c>
      <c r="E17">
        <v>0.29646973834744106</v>
      </c>
      <c r="F17">
        <v>57</v>
      </c>
      <c r="G17">
        <v>47</v>
      </c>
      <c r="H17">
        <f t="shared" si="8"/>
        <v>2.739949406832989E-2</v>
      </c>
      <c r="I17">
        <f t="shared" si="9"/>
        <v>4.3244555863432517E-2</v>
      </c>
      <c r="K17">
        <f t="shared" si="10"/>
        <v>7.5073227520044495E-4</v>
      </c>
      <c r="L17">
        <f t="shared" si="11"/>
        <v>-9.6795480072084334</v>
      </c>
      <c r="M17">
        <f t="shared" si="12"/>
        <v>1.9980425133818582E-4</v>
      </c>
      <c r="O17">
        <f t="shared" si="13"/>
        <v>1.8700916118255355E-3</v>
      </c>
      <c r="P17">
        <f t="shared" si="14"/>
        <v>-3.6475257620694697</v>
      </c>
      <c r="Q17">
        <f t="shared" si="15"/>
        <v>1.4786501966153217E-2</v>
      </c>
      <c r="R17" t="s">
        <v>60</v>
      </c>
    </row>
    <row r="18" spans="1:18" x14ac:dyDescent="0.2">
      <c r="A18" t="s">
        <v>93</v>
      </c>
      <c r="B18">
        <v>2.1345899470899501</v>
      </c>
      <c r="C18">
        <v>0.5729843468807726</v>
      </c>
      <c r="D18">
        <v>1.3130526666666666</v>
      </c>
      <c r="E18">
        <v>0.4344548937639755</v>
      </c>
      <c r="F18">
        <v>45</v>
      </c>
      <c r="G18">
        <v>144</v>
      </c>
      <c r="H18">
        <f t="shared" si="8"/>
        <v>8.5415463311248468E-2</v>
      </c>
      <c r="I18">
        <f t="shared" si="9"/>
        <v>3.6204574480331292E-2</v>
      </c>
      <c r="K18">
        <f t="shared" si="10"/>
        <v>7.2958013726752346E-3</v>
      </c>
      <c r="L18">
        <f t="shared" si="11"/>
        <v>3.1897364319490746</v>
      </c>
      <c r="M18">
        <f t="shared" si="12"/>
        <v>2.4272144557274149E-2</v>
      </c>
      <c r="O18">
        <f t="shared" si="13"/>
        <v>1.3107712133018559E-3</v>
      </c>
      <c r="P18">
        <f t="shared" si="14"/>
        <v>4.6803113542592882</v>
      </c>
      <c r="Q18">
        <f t="shared" si="15"/>
        <v>5.4320666195393549E-3</v>
      </c>
      <c r="R18" t="s">
        <v>60</v>
      </c>
    </row>
    <row r="19" spans="1:18" x14ac:dyDescent="0.2">
      <c r="A19" t="s">
        <v>100</v>
      </c>
      <c r="B19">
        <v>1.8449494949494951</v>
      </c>
      <c r="C19">
        <v>0.70159559501248625</v>
      </c>
      <c r="D19">
        <v>1.0453013333333334</v>
      </c>
      <c r="E19">
        <v>0.41004216316699277</v>
      </c>
      <c r="F19">
        <v>53</v>
      </c>
      <c r="G19">
        <v>98</v>
      </c>
      <c r="H19">
        <f t="shared" si="8"/>
        <v>9.6371566594831148E-2</v>
      </c>
      <c r="I19">
        <f t="shared" si="9"/>
        <v>4.1420513449683054E-2</v>
      </c>
      <c r="K19">
        <f t="shared" si="10"/>
        <v>9.2874788479419736E-3</v>
      </c>
      <c r="L19">
        <f t="shared" si="11"/>
        <v>0.80647676981367578</v>
      </c>
      <c r="M19">
        <f t="shared" si="12"/>
        <v>0.45659745122515655</v>
      </c>
      <c r="O19">
        <f t="shared" si="13"/>
        <v>1.7156589344353747E-3</v>
      </c>
      <c r="P19">
        <f t="shared" si="14"/>
        <v>-1.4650253712456622</v>
      </c>
      <c r="Q19">
        <f t="shared" si="15"/>
        <v>0.20280483462649393</v>
      </c>
      <c r="R19" t="s">
        <v>60</v>
      </c>
    </row>
    <row r="20" spans="1:18" x14ac:dyDescent="0.2">
      <c r="A20" t="s">
        <v>101</v>
      </c>
      <c r="B20">
        <v>2.1766330891330887</v>
      </c>
      <c r="C20">
        <v>0.76711692904868301</v>
      </c>
      <c r="D20">
        <v>1.0935598333333332</v>
      </c>
      <c r="E20">
        <v>0.39622162448781972</v>
      </c>
      <c r="F20">
        <v>47</v>
      </c>
      <c r="G20">
        <v>101</v>
      </c>
      <c r="H20">
        <f t="shared" si="8"/>
        <v>0.11189550433357713</v>
      </c>
      <c r="I20">
        <f t="shared" si="9"/>
        <v>3.9425525193079757E-2</v>
      </c>
      <c r="K20">
        <f t="shared" si="10"/>
        <v>1.2520603890065577E-2</v>
      </c>
      <c r="L20">
        <f t="shared" si="11"/>
        <v>3.0492681201085672</v>
      </c>
      <c r="M20">
        <f t="shared" si="12"/>
        <v>2.8448067349695502E-2</v>
      </c>
      <c r="O20">
        <f t="shared" si="13"/>
        <v>1.5543720367501668E-3</v>
      </c>
      <c r="P20">
        <f t="shared" si="14"/>
        <v>-0.45550966840145363</v>
      </c>
      <c r="Q20">
        <f t="shared" si="15"/>
        <v>0.66784113740235806</v>
      </c>
      <c r="R20" t="s">
        <v>60</v>
      </c>
    </row>
    <row r="21" spans="1:18" x14ac:dyDescent="0.2">
      <c r="A21" t="s">
        <v>116</v>
      </c>
      <c r="B21">
        <v>2.687770562770563</v>
      </c>
      <c r="C21">
        <v>1.5027488274924758</v>
      </c>
      <c r="D21">
        <v>0.95800816666666666</v>
      </c>
      <c r="E21">
        <v>0.31273274839288379</v>
      </c>
      <c r="F21">
        <v>67</v>
      </c>
      <c r="G21">
        <v>182</v>
      </c>
      <c r="H21">
        <f>C21/SQRT(F21)</f>
        <v>0.18358998926184494</v>
      </c>
      <c r="I21">
        <f>E21/(SQRT(G21))</f>
        <v>2.3181293604377318E-2</v>
      </c>
      <c r="K21">
        <v>3.3705284157164339E-2</v>
      </c>
      <c r="L21">
        <v>3.1412830559943452</v>
      </c>
      <c r="M21">
        <v>2.5629277852144035E-2</v>
      </c>
      <c r="O21">
        <v>5.3737237317234485E-4</v>
      </c>
      <c r="P21">
        <v>-5.7019374333584816</v>
      </c>
      <c r="Q21">
        <v>2.3161072747828865E-3</v>
      </c>
      <c r="R21" t="s">
        <v>60</v>
      </c>
    </row>
    <row r="22" spans="1:18" x14ac:dyDescent="0.2">
      <c r="A22" t="s">
        <v>117</v>
      </c>
      <c r="B22">
        <v>0.5513605442176871</v>
      </c>
      <c r="C22">
        <v>0.29783121689046327</v>
      </c>
      <c r="D22">
        <v>0.4662594285714286</v>
      </c>
      <c r="E22">
        <v>9.7729094783926232E-2</v>
      </c>
      <c r="F22">
        <v>77</v>
      </c>
      <c r="G22">
        <v>43</v>
      </c>
      <c r="H22">
        <f>C22/SQRT(F22)</f>
        <v>3.394101716451265E-2</v>
      </c>
      <c r="I22">
        <f>E22/(SQRT(G22))</f>
        <v>1.4903547234448363E-2</v>
      </c>
      <c r="K22">
        <v>1.1519926461617425E-3</v>
      </c>
      <c r="L22">
        <v>-8.0312265698640957</v>
      </c>
      <c r="M22">
        <v>4.8398290692213558E-4</v>
      </c>
      <c r="R22" t="s">
        <v>60</v>
      </c>
    </row>
    <row r="23" spans="1:18" x14ac:dyDescent="0.2">
      <c r="A23" t="s">
        <v>102</v>
      </c>
      <c r="B23">
        <v>1.9292328042328044</v>
      </c>
      <c r="C23">
        <v>0.9818343003096125</v>
      </c>
      <c r="D23">
        <v>1.1397493333333333</v>
      </c>
      <c r="E23">
        <v>0.32019270386419907</v>
      </c>
      <c r="F23">
        <v>56</v>
      </c>
      <c r="G23">
        <v>100</v>
      </c>
      <c r="H23">
        <f t="shared" ref="H23:H31" si="16">C23/SQRT(F23)</f>
        <v>0.13120312722648164</v>
      </c>
      <c r="I23">
        <f t="shared" ref="I23:I31" si="17">E23/(SQRT(G23))</f>
        <v>3.2019270386419905E-2</v>
      </c>
      <c r="K23">
        <f t="shared" ref="K23:K31" si="18">(C23^2)/F23</f>
        <v>1.7214260594008327E-2</v>
      </c>
      <c r="L23">
        <f t="shared" ref="L23:L31" si="19">(B23-B$3)/(SQRT(K23+K$3))</f>
        <v>1.1980300647670779</v>
      </c>
      <c r="M23">
        <f t="shared" ref="M23:M30" si="20">(_xlfn.T.DIST.2T(ABS(L23),5))</f>
        <v>0.2845917797540472</v>
      </c>
      <c r="O23">
        <f t="shared" ref="O23:O31" si="21">(E23^2)/G23</f>
        <v>1.0252336760786668E-3</v>
      </c>
      <c r="P23">
        <f t="shared" ref="P23:P31" si="22">(D23-D$3)/(SQRT(O23+O$3))</f>
        <v>0.65585564609144309</v>
      </c>
      <c r="Q23">
        <f t="shared" ref="Q23:Q31" si="23">_xlfn.T.DIST.2T(ABS(P23),5)</f>
        <v>0.54089183277517883</v>
      </c>
      <c r="R23" t="s">
        <v>60</v>
      </c>
    </row>
    <row r="24" spans="1:18" x14ac:dyDescent="0.2">
      <c r="A24" t="s">
        <v>103</v>
      </c>
      <c r="B24">
        <v>3.285353535353535</v>
      </c>
      <c r="C24">
        <v>1.0636803567983344</v>
      </c>
      <c r="D24">
        <v>1.400563</v>
      </c>
      <c r="E24">
        <v>0.25961089352028344</v>
      </c>
      <c r="F24">
        <v>56</v>
      </c>
      <c r="G24">
        <v>193</v>
      </c>
      <c r="H24">
        <f t="shared" si="16"/>
        <v>0.14214026657788678</v>
      </c>
      <c r="I24">
        <f t="shared" si="17"/>
        <v>1.8687201022184224E-2</v>
      </c>
      <c r="K24">
        <f t="shared" si="18"/>
        <v>2.0203855382832713E-2</v>
      </c>
      <c r="L24">
        <f t="shared" si="19"/>
        <v>9.1908608608444577</v>
      </c>
      <c r="M24">
        <f t="shared" si="20"/>
        <v>2.5583344788688141E-4</v>
      </c>
      <c r="O24">
        <f t="shared" si="21"/>
        <v>3.4921148204352303E-4</v>
      </c>
      <c r="P24">
        <f t="shared" si="22"/>
        <v>9.8579444497777313</v>
      </c>
      <c r="Q24">
        <f t="shared" si="23"/>
        <v>1.8308112276461076E-4</v>
      </c>
      <c r="R24" t="s">
        <v>60</v>
      </c>
    </row>
    <row r="25" spans="1:18" x14ac:dyDescent="0.2">
      <c r="A25" t="s">
        <v>104</v>
      </c>
      <c r="B25">
        <v>1.9602564102564102</v>
      </c>
      <c r="C25">
        <v>0.96597166064961426</v>
      </c>
      <c r="D25">
        <v>1.0171941666666668</v>
      </c>
      <c r="E25">
        <v>0.3973920825755925</v>
      </c>
      <c r="F25">
        <v>55</v>
      </c>
      <c r="G25">
        <v>113</v>
      </c>
      <c r="H25">
        <f t="shared" si="16"/>
        <v>0.13025159215067189</v>
      </c>
      <c r="I25">
        <f t="shared" si="17"/>
        <v>3.7383502500927757E-2</v>
      </c>
      <c r="K25">
        <f t="shared" si="18"/>
        <v>1.6965477257784974E-2</v>
      </c>
      <c r="L25">
        <f t="shared" si="19"/>
        <v>1.3998294974675576</v>
      </c>
      <c r="M25">
        <f t="shared" si="20"/>
        <v>0.22045187776622074</v>
      </c>
      <c r="O25">
        <f t="shared" si="21"/>
        <v>1.3975262592368718E-3</v>
      </c>
      <c r="P25">
        <f t="shared" si="22"/>
        <v>-2.2295317065427258</v>
      </c>
      <c r="Q25">
        <f t="shared" si="23"/>
        <v>7.6209849253241382E-2</v>
      </c>
      <c r="R25" t="s">
        <v>60</v>
      </c>
    </row>
    <row r="26" spans="1:18" x14ac:dyDescent="0.2">
      <c r="A26" t="s">
        <v>105</v>
      </c>
      <c r="B26">
        <v>1.5119658119658119</v>
      </c>
      <c r="C26">
        <v>0.96388180740766771</v>
      </c>
      <c r="D26">
        <v>0.76817330769230763</v>
      </c>
      <c r="E26">
        <v>0.40598248662624675</v>
      </c>
      <c r="F26">
        <v>81</v>
      </c>
      <c r="G26">
        <v>119</v>
      </c>
      <c r="H26">
        <f t="shared" si="16"/>
        <v>0.10709797860085196</v>
      </c>
      <c r="I26">
        <f t="shared" si="17"/>
        <v>3.7216353531005629E-2</v>
      </c>
      <c r="K26">
        <f t="shared" si="18"/>
        <v>1.1469977020388546E-2</v>
      </c>
      <c r="L26">
        <f t="shared" si="19"/>
        <v>-1.6187983463702533</v>
      </c>
      <c r="M26">
        <f t="shared" si="20"/>
        <v>0.16641534150960366</v>
      </c>
      <c r="O26">
        <f t="shared" si="21"/>
        <v>1.3850569701447952E-3</v>
      </c>
      <c r="P26">
        <f t="shared" si="22"/>
        <v>-7.9804448918526649</v>
      </c>
      <c r="Q26">
        <f t="shared" si="23"/>
        <v>4.9859448531090419E-4</v>
      </c>
      <c r="R26" t="s">
        <v>60</v>
      </c>
    </row>
    <row r="27" spans="1:18" x14ac:dyDescent="0.2">
      <c r="A27" t="s">
        <v>106</v>
      </c>
      <c r="B27">
        <v>2.48924630924631</v>
      </c>
      <c r="C27">
        <v>1.1034114492168128</v>
      </c>
      <c r="D27">
        <v>1.4191852</v>
      </c>
      <c r="E27">
        <v>0.12743820606356634</v>
      </c>
      <c r="F27">
        <v>52</v>
      </c>
      <c r="G27">
        <v>188</v>
      </c>
      <c r="H27">
        <f t="shared" si="16"/>
        <v>0.15301563684943262</v>
      </c>
      <c r="I27">
        <f t="shared" si="17"/>
        <v>9.2943864219845202E-3</v>
      </c>
      <c r="K27">
        <f t="shared" si="18"/>
        <v>2.3413785120437441E-2</v>
      </c>
      <c r="L27">
        <f t="shared" si="19"/>
        <v>4.2274254753836749</v>
      </c>
      <c r="M27">
        <f t="shared" si="20"/>
        <v>8.2686594032044848E-3</v>
      </c>
      <c r="O27">
        <f t="shared" si="21"/>
        <v>8.6385618961170208E-5</v>
      </c>
      <c r="P27">
        <f t="shared" si="22"/>
        <v>12.652278813290771</v>
      </c>
      <c r="Q27">
        <f t="shared" si="23"/>
        <v>5.4805374884369087E-5</v>
      </c>
      <c r="R27" t="s">
        <v>60</v>
      </c>
    </row>
    <row r="28" spans="1:18" x14ac:dyDescent="0.2">
      <c r="A28" t="s">
        <v>107</v>
      </c>
      <c r="B28">
        <v>2.4480820105820107</v>
      </c>
      <c r="C28">
        <v>0.7534693594485331</v>
      </c>
      <c r="D28">
        <v>0.74942750000000002</v>
      </c>
      <c r="E28">
        <v>0.30136982079083491</v>
      </c>
      <c r="F28">
        <v>42</v>
      </c>
      <c r="G28">
        <v>101</v>
      </c>
      <c r="H28">
        <f t="shared" si="16"/>
        <v>0.11626284625670022</v>
      </c>
      <c r="I28">
        <f t="shared" si="17"/>
        <v>2.9987417969380033E-2</v>
      </c>
      <c r="K28">
        <f t="shared" si="18"/>
        <v>1.3517049419709114E-2</v>
      </c>
      <c r="L28">
        <f t="shared" si="19"/>
        <v>4.8235968794497142</v>
      </c>
      <c r="M28">
        <f t="shared" si="20"/>
        <v>4.7832955798693009E-3</v>
      </c>
      <c r="O28">
        <f t="shared" si="21"/>
        <v>8.9924523647029659E-4</v>
      </c>
      <c r="P28">
        <f t="shared" si="22"/>
        <v>-9.7693765114555688</v>
      </c>
      <c r="Q28">
        <f t="shared" si="23"/>
        <v>1.9116604001377218E-4</v>
      </c>
      <c r="R28" t="s">
        <v>60</v>
      </c>
    </row>
    <row r="29" spans="1:18" x14ac:dyDescent="0.2">
      <c r="A29" t="s">
        <v>108</v>
      </c>
      <c r="B29">
        <v>1.9365329115329113</v>
      </c>
      <c r="C29">
        <v>0.73522246224980536</v>
      </c>
      <c r="D29">
        <v>1.0520249090909091</v>
      </c>
      <c r="E29">
        <v>0.26927339936445877</v>
      </c>
      <c r="F29">
        <v>98</v>
      </c>
      <c r="G29">
        <v>151</v>
      </c>
      <c r="H29">
        <f t="shared" si="16"/>
        <v>7.4268684105358265E-2</v>
      </c>
      <c r="I29">
        <f t="shared" si="17"/>
        <v>2.191315846568738E-2</v>
      </c>
      <c r="K29">
        <f t="shared" si="18"/>
        <v>5.5158374387414954E-3</v>
      </c>
      <c r="L29">
        <f t="shared" si="19"/>
        <v>1.6954774690481489</v>
      </c>
      <c r="M29">
        <f t="shared" si="20"/>
        <v>0.150753170560395</v>
      </c>
      <c r="O29">
        <f t="shared" si="21"/>
        <v>4.8018651394232654E-4</v>
      </c>
      <c r="P29">
        <f t="shared" si="22"/>
        <v>-1.9906035462830212</v>
      </c>
      <c r="Q29">
        <f t="shared" si="23"/>
        <v>0.10317040846816274</v>
      </c>
      <c r="R29" t="s">
        <v>60</v>
      </c>
    </row>
    <row r="30" spans="1:18" x14ac:dyDescent="0.2">
      <c r="A30" t="s">
        <v>109</v>
      </c>
      <c r="B30">
        <v>2.1734672190554543</v>
      </c>
      <c r="C30">
        <v>1.1246534413538347</v>
      </c>
      <c r="D30">
        <v>0.94494675000000028</v>
      </c>
      <c r="E30">
        <v>0.1504019637142841</v>
      </c>
      <c r="F30">
        <v>118</v>
      </c>
      <c r="G30">
        <v>229</v>
      </c>
      <c r="H30">
        <f t="shared" si="16"/>
        <v>0.10353274120423409</v>
      </c>
      <c r="I30">
        <f t="shared" si="17"/>
        <v>9.9388415167370407E-3</v>
      </c>
      <c r="K30">
        <f t="shared" si="18"/>
        <v>1.071902850126291E-2</v>
      </c>
      <c r="L30">
        <f t="shared" si="19"/>
        <v>3.1686706976212391</v>
      </c>
      <c r="M30">
        <f t="shared" si="20"/>
        <v>2.4851974640375949E-2</v>
      </c>
      <c r="O30">
        <f t="shared" si="21"/>
        <v>9.8780570694815853E-5</v>
      </c>
      <c r="P30">
        <f t="shared" si="22"/>
        <v>-6.9464421044065165</v>
      </c>
      <c r="Q30">
        <f t="shared" si="23"/>
        <v>9.4970940028475789E-4</v>
      </c>
      <c r="R30" t="s">
        <v>60</v>
      </c>
    </row>
    <row r="31" spans="1:18" x14ac:dyDescent="0.2">
      <c r="A31" t="s">
        <v>110</v>
      </c>
      <c r="B31">
        <v>2.1259259259259262</v>
      </c>
      <c r="C31">
        <v>0.65553593818733025</v>
      </c>
      <c r="D31">
        <v>1.0249519999999999</v>
      </c>
      <c r="E31">
        <v>0.24113029608740691</v>
      </c>
      <c r="F31">
        <v>50</v>
      </c>
      <c r="G31">
        <v>104</v>
      </c>
      <c r="H31">
        <f t="shared" si="16"/>
        <v>9.2706781440749328E-2</v>
      </c>
      <c r="I31">
        <f t="shared" si="17"/>
        <v>2.3644770866694111E-2</v>
      </c>
      <c r="K31">
        <f t="shared" si="18"/>
        <v>8.594547325102864E-3</v>
      </c>
      <c r="L31">
        <f t="shared" si="19"/>
        <v>2.9962980652680087</v>
      </c>
      <c r="M31">
        <f>(_xlfn.T.DIST.2T(ABS(L31),5))*2</f>
        <v>6.0455170211963817E-2</v>
      </c>
      <c r="O31">
        <f t="shared" si="21"/>
        <v>5.5907518933846659E-4</v>
      </c>
      <c r="P31">
        <f t="shared" si="22"/>
        <v>-2.7486167378149622</v>
      </c>
      <c r="Q31">
        <f t="shared" si="23"/>
        <v>4.0376496777171221E-2</v>
      </c>
      <c r="R31" t="s">
        <v>60</v>
      </c>
    </row>
  </sheetData>
  <conditionalFormatting sqref="Q6 Q10 Q18 Q24">
    <cfRule type="colorScale" priority="8">
      <colorScale>
        <cfvo type="min"/>
        <cfvo type="max"/>
        <color rgb="FFFCFCFF"/>
        <color rgb="FFF8696B"/>
      </colorScale>
    </cfRule>
  </conditionalFormatting>
  <conditionalFormatting sqref="Q24">
    <cfRule type="colorScale" priority="7">
      <colorScale>
        <cfvo type="min"/>
        <cfvo type="max"/>
        <color rgb="FFFCFCFF"/>
        <color rgb="FFF8696B"/>
      </colorScale>
    </cfRule>
  </conditionalFormatting>
  <conditionalFormatting sqref="Q24 Q18 Q10 Q6">
    <cfRule type="colorScale" priority="6">
      <colorScale>
        <cfvo type="min"/>
        <cfvo type="max"/>
        <color rgb="FFFCFCFF"/>
        <color rgb="FFF8696B"/>
      </colorScale>
    </cfRule>
  </conditionalFormatting>
  <conditionalFormatting sqref="Q18 Q24 Q10 Q6">
    <cfRule type="colorScale" priority="5">
      <colorScale>
        <cfvo type="min"/>
        <cfvo type="max"/>
        <color rgb="FFF8696B"/>
        <color rgb="FFFCFCFF"/>
      </colorScale>
    </cfRule>
  </conditionalFormatting>
  <conditionalFormatting sqref="Q6 Q9 Q18 Q24 Q27">
    <cfRule type="colorScale" priority="4">
      <colorScale>
        <cfvo type="min"/>
        <cfvo type="max"/>
        <color rgb="FFF8696B"/>
        <color rgb="FFFCFCFF"/>
      </colorScale>
    </cfRule>
  </conditionalFormatting>
  <conditionalFormatting sqref="Q6">
    <cfRule type="colorScale" priority="2">
      <colorScale>
        <cfvo type="min"/>
        <cfvo type="max"/>
        <color rgb="FFF8696B"/>
        <color rgb="FFFCFCFF"/>
      </colorScale>
    </cfRule>
  </conditionalFormatting>
  <conditionalFormatting sqref="L9:L11 L5 L15:L16 L18 L20:L21 L24 L27:L28 L30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E158-920C-4EEE-9009-FA759FBDC78A}">
  <dimension ref="A1"/>
  <sheetViews>
    <sheetView zoomScale="50" workbookViewId="0">
      <selection activeCell="K21" sqref="K21"/>
    </sheetView>
  </sheetViews>
  <sheetFormatPr baseColWidth="10" defaultColWidth="8.83203125" defaultRowHeight="15" x14ac:dyDescent="0.2"/>
  <sheetData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E5EC4-E604-40A6-BEBA-4AC7E9A1E774}">
  <dimension ref="A1:W296"/>
  <sheetViews>
    <sheetView topLeftCell="N1" zoomScale="110" zoomScaleNormal="125" workbookViewId="0">
      <selection activeCell="AD40" sqref="AD40"/>
    </sheetView>
  </sheetViews>
  <sheetFormatPr baseColWidth="10" defaultColWidth="8.83203125" defaultRowHeight="15" x14ac:dyDescent="0.2"/>
  <cols>
    <col min="2" max="2" width="13.1640625" bestFit="1" customWidth="1"/>
    <col min="3" max="3" width="10" bestFit="1" customWidth="1"/>
    <col min="4" max="4" width="10.5" bestFit="1" customWidth="1"/>
    <col min="5" max="5" width="11" bestFit="1" customWidth="1"/>
    <col min="6" max="6" width="9.33203125" bestFit="1" customWidth="1"/>
    <col min="7" max="7" width="11" bestFit="1" customWidth="1"/>
    <col min="8" max="8" width="15.33203125" bestFit="1" customWidth="1"/>
    <col min="9" max="9" width="11.1640625" bestFit="1" customWidth="1"/>
    <col min="10" max="11" width="12.6640625" bestFit="1" customWidth="1"/>
    <col min="12" max="12" width="11.5" bestFit="1" customWidth="1"/>
    <col min="20" max="20" width="15.1640625" bestFit="1" customWidth="1"/>
  </cols>
  <sheetData>
    <row r="1" spans="1:22" x14ac:dyDescent="0.2">
      <c r="A1" s="1" t="s">
        <v>23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53</v>
      </c>
    </row>
    <row r="2" spans="1:22" x14ac:dyDescent="0.2">
      <c r="A2" t="s">
        <v>18</v>
      </c>
      <c r="B2">
        <v>0</v>
      </c>
      <c r="C2">
        <v>0</v>
      </c>
      <c r="D2">
        <v>0</v>
      </c>
      <c r="E2">
        <v>0</v>
      </c>
      <c r="F2">
        <v>0</v>
      </c>
      <c r="G2">
        <v>11</v>
      </c>
      <c r="H2">
        <v>0</v>
      </c>
      <c r="I2">
        <v>0</v>
      </c>
      <c r="J2">
        <v>0</v>
      </c>
      <c r="K2">
        <v>0</v>
      </c>
      <c r="L2">
        <v>0</v>
      </c>
      <c r="M2">
        <f>B2/G2</f>
        <v>0</v>
      </c>
      <c r="U2" t="s">
        <v>118</v>
      </c>
      <c r="V2" t="s">
        <v>119</v>
      </c>
    </row>
    <row r="3" spans="1:22" x14ac:dyDescent="0.2">
      <c r="A3" t="s">
        <v>19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0</v>
      </c>
      <c r="I3">
        <v>0</v>
      </c>
      <c r="J3">
        <v>0</v>
      </c>
      <c r="K3">
        <v>0</v>
      </c>
      <c r="L3">
        <v>0</v>
      </c>
      <c r="M3">
        <f>B3/G3</f>
        <v>0</v>
      </c>
      <c r="T3" s="1" t="s">
        <v>24</v>
      </c>
      <c r="U3">
        <v>1.7385431697931697</v>
      </c>
      <c r="V3">
        <v>1.1141794999999999</v>
      </c>
    </row>
    <row r="4" spans="1:22" x14ac:dyDescent="0.2">
      <c r="A4" t="s">
        <v>20</v>
      </c>
      <c r="B4">
        <v>1</v>
      </c>
      <c r="C4">
        <v>0.315112</v>
      </c>
      <c r="D4">
        <v>0.315112</v>
      </c>
      <c r="E4">
        <v>0</v>
      </c>
      <c r="F4">
        <v>0</v>
      </c>
      <c r="G4">
        <v>7</v>
      </c>
      <c r="H4">
        <v>1</v>
      </c>
      <c r="I4">
        <v>0.315112</v>
      </c>
      <c r="J4">
        <v>0.315112</v>
      </c>
      <c r="K4">
        <v>0</v>
      </c>
      <c r="L4">
        <v>0</v>
      </c>
      <c r="M4">
        <f>B4/G4</f>
        <v>0.14285714285714285</v>
      </c>
      <c r="T4" s="1" t="s">
        <v>71</v>
      </c>
      <c r="U4">
        <v>2.548510422830133</v>
      </c>
      <c r="V4">
        <v>1.0959128</v>
      </c>
    </row>
    <row r="5" spans="1:22" x14ac:dyDescent="0.2">
      <c r="A5" t="s">
        <v>21</v>
      </c>
      <c r="B5">
        <v>2</v>
      </c>
      <c r="C5">
        <v>0.43327900000000003</v>
      </c>
      <c r="D5">
        <v>0.216639</v>
      </c>
      <c r="E5">
        <v>0.194966</v>
      </c>
      <c r="F5">
        <v>0.13786100000000001</v>
      </c>
      <c r="G5">
        <v>7</v>
      </c>
      <c r="H5">
        <v>2</v>
      </c>
      <c r="I5">
        <v>0.43327900000000003</v>
      </c>
      <c r="J5">
        <v>0.216639</v>
      </c>
      <c r="K5">
        <v>0.194966</v>
      </c>
      <c r="L5">
        <v>0.13786100000000001</v>
      </c>
      <c r="M5">
        <f>B5/G5</f>
        <v>0.2857142857142857</v>
      </c>
      <c r="T5" s="1" t="s">
        <v>72</v>
      </c>
      <c r="U5">
        <v>2.1850649350649349</v>
      </c>
      <c r="V5">
        <v>1.1037028333333334</v>
      </c>
    </row>
    <row r="6" spans="1:22" x14ac:dyDescent="0.2">
      <c r="A6" t="s">
        <v>22</v>
      </c>
      <c r="B6">
        <v>2</v>
      </c>
      <c r="C6">
        <v>0.55144599999999999</v>
      </c>
      <c r="D6">
        <v>0.275723</v>
      </c>
      <c r="E6">
        <v>0.27852199999999999</v>
      </c>
      <c r="F6">
        <v>0.19694500000000001</v>
      </c>
      <c r="G6">
        <v>9</v>
      </c>
      <c r="H6">
        <v>2</v>
      </c>
      <c r="I6">
        <v>0.55144599999999999</v>
      </c>
      <c r="J6">
        <v>0.275723</v>
      </c>
      <c r="K6">
        <v>0.27852199999999999</v>
      </c>
      <c r="L6">
        <v>0.19694500000000001</v>
      </c>
      <c r="M6">
        <f>B6/G6</f>
        <v>0.22222222222222221</v>
      </c>
      <c r="T6" s="1" t="s">
        <v>73</v>
      </c>
      <c r="U6">
        <v>1.505050505050505</v>
      </c>
      <c r="V6">
        <v>1.0834644</v>
      </c>
    </row>
    <row r="7" spans="1:22" x14ac:dyDescent="0.2">
      <c r="A7" t="s">
        <v>51</v>
      </c>
      <c r="B7">
        <f t="shared" ref="B7:M7" si="0">AVERAGE(B2:B6)</f>
        <v>1</v>
      </c>
      <c r="C7">
        <f t="shared" si="0"/>
        <v>0.25996740000000002</v>
      </c>
      <c r="D7">
        <f t="shared" si="0"/>
        <v>0.16149479999999999</v>
      </c>
      <c r="E7">
        <f t="shared" si="0"/>
        <v>9.4697600000000007E-2</v>
      </c>
      <c r="F7">
        <f t="shared" si="0"/>
        <v>6.6961200000000012E-2</v>
      </c>
      <c r="G7">
        <f t="shared" si="0"/>
        <v>7.8</v>
      </c>
      <c r="H7">
        <f t="shared" si="0"/>
        <v>1</v>
      </c>
      <c r="I7">
        <f t="shared" si="0"/>
        <v>0.25996740000000002</v>
      </c>
      <c r="J7">
        <f t="shared" si="0"/>
        <v>0.16149479999999999</v>
      </c>
      <c r="K7">
        <f t="shared" si="0"/>
        <v>9.4697600000000007E-2</v>
      </c>
      <c r="L7">
        <f t="shared" si="0"/>
        <v>6.6961200000000012E-2</v>
      </c>
      <c r="M7">
        <f t="shared" si="0"/>
        <v>0.13015873015873014</v>
      </c>
      <c r="T7" s="1" t="s">
        <v>74</v>
      </c>
      <c r="U7">
        <v>0.77777777777777779</v>
      </c>
      <c r="V7">
        <v>0.63571549999999999</v>
      </c>
    </row>
    <row r="8" spans="1:22" x14ac:dyDescent="0.2">
      <c r="A8" t="s">
        <v>52</v>
      </c>
      <c r="B8">
        <f t="shared" ref="B8:M8" si="1">STDEV(B2:B6)</f>
        <v>1</v>
      </c>
      <c r="C8">
        <f t="shared" si="1"/>
        <v>0.25159675573584012</v>
      </c>
      <c r="D8">
        <f t="shared" si="1"/>
        <v>0.15153246307210874</v>
      </c>
      <c r="E8">
        <f t="shared" si="1"/>
        <v>0.13299254529032822</v>
      </c>
      <c r="F8">
        <f t="shared" si="1"/>
        <v>9.4039854342188353E-2</v>
      </c>
      <c r="G8">
        <f t="shared" si="1"/>
        <v>2.2803508501982765</v>
      </c>
      <c r="H8">
        <f t="shared" si="1"/>
        <v>1</v>
      </c>
      <c r="I8">
        <f t="shared" si="1"/>
        <v>0.25159675573584012</v>
      </c>
      <c r="J8">
        <f t="shared" si="1"/>
        <v>0.15153246307210874</v>
      </c>
      <c r="K8">
        <f t="shared" si="1"/>
        <v>0.13299254529032822</v>
      </c>
      <c r="L8">
        <f t="shared" si="1"/>
        <v>9.4039854342188353E-2</v>
      </c>
      <c r="M8">
        <f t="shared" si="1"/>
        <v>0.1291482260749714</v>
      </c>
      <c r="T8" s="1" t="s">
        <v>76</v>
      </c>
      <c r="U8">
        <v>2.3722222222222222</v>
      </c>
      <c r="V8">
        <v>1.0476846666666668</v>
      </c>
    </row>
    <row r="9" spans="1:22" x14ac:dyDescent="0.2">
      <c r="T9" s="1" t="s">
        <v>78</v>
      </c>
      <c r="U9">
        <v>2.4063492063492062</v>
      </c>
      <c r="V9">
        <v>1.1957941999999999</v>
      </c>
    </row>
    <row r="10" spans="1:22" x14ac:dyDescent="0.2">
      <c r="A10" s="1" t="s">
        <v>24</v>
      </c>
      <c r="B10" t="s">
        <v>0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6</v>
      </c>
      <c r="I10" t="s">
        <v>7</v>
      </c>
      <c r="J10" t="s">
        <v>8</v>
      </c>
      <c r="K10" t="s">
        <v>9</v>
      </c>
      <c r="L10" t="s">
        <v>10</v>
      </c>
      <c r="M10" t="s">
        <v>53</v>
      </c>
      <c r="T10" s="1" t="s">
        <v>79</v>
      </c>
      <c r="U10">
        <v>0.82684766214177974</v>
      </c>
      <c r="V10">
        <v>0.9368015999999999</v>
      </c>
    </row>
    <row r="11" spans="1:22" x14ac:dyDescent="0.2">
      <c r="A11" t="s">
        <v>11</v>
      </c>
      <c r="B11">
        <v>17</v>
      </c>
      <c r="C11">
        <v>13.825536</v>
      </c>
      <c r="D11">
        <v>0.81326699999999996</v>
      </c>
      <c r="E11">
        <v>0.65821200000000002</v>
      </c>
      <c r="F11">
        <v>0.15964</v>
      </c>
      <c r="G11">
        <v>8</v>
      </c>
      <c r="H11">
        <v>17</v>
      </c>
      <c r="I11">
        <v>13.825536</v>
      </c>
      <c r="J11">
        <v>0.81326699999999996</v>
      </c>
      <c r="K11">
        <v>0.65821200000000002</v>
      </c>
      <c r="L11">
        <v>0.15964</v>
      </c>
      <c r="M11">
        <f>B11/G11</f>
        <v>2.125</v>
      </c>
      <c r="T11" s="1" t="s">
        <v>82</v>
      </c>
      <c r="U11">
        <v>0.45305194805194809</v>
      </c>
      <c r="V11">
        <v>1.1728726</v>
      </c>
    </row>
    <row r="12" spans="1:22" x14ac:dyDescent="0.2">
      <c r="A12" t="s">
        <v>12</v>
      </c>
      <c r="B12">
        <v>12</v>
      </c>
      <c r="C12">
        <v>17.567489999999999</v>
      </c>
      <c r="D12">
        <v>1.4639580000000001</v>
      </c>
      <c r="E12">
        <v>1.068311</v>
      </c>
      <c r="F12">
        <v>0.30839499999999997</v>
      </c>
      <c r="G12">
        <v>11</v>
      </c>
      <c r="H12">
        <v>12</v>
      </c>
      <c r="I12">
        <v>17.567489999999999</v>
      </c>
      <c r="J12">
        <v>1.4639580000000001</v>
      </c>
      <c r="K12">
        <v>1.068311</v>
      </c>
      <c r="L12">
        <v>0.30839499999999997</v>
      </c>
      <c r="M12">
        <f t="shared" ref="M12:M17" si="2">B12/G12</f>
        <v>1.0909090909090908</v>
      </c>
      <c r="T12" s="1" t="s">
        <v>94</v>
      </c>
      <c r="U12">
        <v>3.3890476190476191</v>
      </c>
      <c r="V12">
        <v>1.1476351666666667</v>
      </c>
    </row>
    <row r="13" spans="1:22" x14ac:dyDescent="0.2">
      <c r="A13" t="s">
        <v>13</v>
      </c>
      <c r="B13">
        <v>7</v>
      </c>
      <c r="C13">
        <v>5.4356809999999998</v>
      </c>
      <c r="D13">
        <v>0.77652600000000005</v>
      </c>
      <c r="E13">
        <v>0.62722699999999998</v>
      </c>
      <c r="F13">
        <v>0.23707</v>
      </c>
      <c r="G13">
        <v>9</v>
      </c>
      <c r="H13">
        <v>7</v>
      </c>
      <c r="I13">
        <v>5.4356809999999998</v>
      </c>
      <c r="J13">
        <v>0.77652600000000005</v>
      </c>
      <c r="K13">
        <v>0.62722699999999998</v>
      </c>
      <c r="L13">
        <v>0.23707</v>
      </c>
      <c r="M13">
        <f t="shared" si="2"/>
        <v>0.77777777777777779</v>
      </c>
      <c r="T13" t="s">
        <v>96</v>
      </c>
      <c r="U13">
        <v>2.2478956228956228</v>
      </c>
      <c r="V13">
        <v>1.2289749999999999</v>
      </c>
    </row>
    <row r="14" spans="1:22" x14ac:dyDescent="0.2">
      <c r="A14" t="s">
        <v>14</v>
      </c>
      <c r="B14">
        <v>10</v>
      </c>
      <c r="C14">
        <v>15.99193</v>
      </c>
      <c r="D14">
        <v>1.5991930000000001</v>
      </c>
      <c r="E14">
        <v>2.2567900000000001</v>
      </c>
      <c r="F14">
        <v>0.71365999999999996</v>
      </c>
      <c r="G14">
        <v>7</v>
      </c>
      <c r="H14">
        <v>10</v>
      </c>
      <c r="I14">
        <v>15.99193</v>
      </c>
      <c r="J14">
        <v>1.5991930000000001</v>
      </c>
      <c r="K14">
        <v>2.2567900000000001</v>
      </c>
      <c r="L14">
        <v>0.71365999999999996</v>
      </c>
      <c r="M14">
        <f t="shared" si="2"/>
        <v>1.4285714285714286</v>
      </c>
      <c r="T14" s="1" t="s">
        <v>102</v>
      </c>
      <c r="U14">
        <v>1.9292328042328044</v>
      </c>
      <c r="V14">
        <v>1.1397493333333333</v>
      </c>
    </row>
    <row r="15" spans="1:22" x14ac:dyDescent="0.2">
      <c r="A15" t="s">
        <v>15</v>
      </c>
      <c r="B15">
        <v>9</v>
      </c>
      <c r="C15">
        <v>10.201749</v>
      </c>
      <c r="D15">
        <v>1.1335280000000001</v>
      </c>
      <c r="E15">
        <v>0.728105</v>
      </c>
      <c r="F15">
        <v>0.242702</v>
      </c>
      <c r="G15">
        <v>7</v>
      </c>
      <c r="H15">
        <v>9</v>
      </c>
      <c r="I15">
        <v>10.201749</v>
      </c>
      <c r="J15">
        <v>1.1335280000000001</v>
      </c>
      <c r="K15">
        <v>0.728105</v>
      </c>
      <c r="L15">
        <v>0.242702</v>
      </c>
      <c r="M15">
        <f t="shared" si="2"/>
        <v>1.2857142857142858</v>
      </c>
      <c r="T15" s="1" t="s">
        <v>110</v>
      </c>
      <c r="U15">
        <v>2.1259259259259262</v>
      </c>
      <c r="V15">
        <v>1.0249519999999999</v>
      </c>
    </row>
    <row r="16" spans="1:22" x14ac:dyDescent="0.2">
      <c r="A16" t="s">
        <v>16</v>
      </c>
      <c r="B16">
        <v>42</v>
      </c>
      <c r="C16">
        <v>44.785283</v>
      </c>
      <c r="D16">
        <v>1.066316</v>
      </c>
      <c r="E16">
        <v>1.0929450000000001</v>
      </c>
      <c r="F16">
        <v>0.16864499999999999</v>
      </c>
      <c r="G16">
        <v>9</v>
      </c>
      <c r="H16">
        <v>43</v>
      </c>
      <c r="I16">
        <v>58.295707</v>
      </c>
      <c r="J16">
        <v>1.3557140000000001</v>
      </c>
      <c r="K16">
        <v>2.1834340000000001</v>
      </c>
      <c r="L16">
        <v>0.33297100000000002</v>
      </c>
      <c r="M16">
        <f t="shared" si="2"/>
        <v>4.666666666666667</v>
      </c>
      <c r="T16" s="1" t="s">
        <v>109</v>
      </c>
      <c r="U16">
        <v>2.1734672190554543</v>
      </c>
      <c r="V16">
        <v>0.94494675000000028</v>
      </c>
    </row>
    <row r="17" spans="1:22" x14ac:dyDescent="0.2">
      <c r="A17" t="s">
        <v>17</v>
      </c>
      <c r="B17">
        <v>22</v>
      </c>
      <c r="C17">
        <v>29.187242999999999</v>
      </c>
      <c r="D17">
        <v>1.3266929999999999</v>
      </c>
      <c r="E17">
        <v>1.3047660000000001</v>
      </c>
      <c r="F17">
        <v>0.27817700000000001</v>
      </c>
      <c r="G17">
        <v>11</v>
      </c>
      <c r="H17">
        <v>22</v>
      </c>
      <c r="I17">
        <v>29.187242999999999</v>
      </c>
      <c r="J17">
        <v>1.3266929999999999</v>
      </c>
      <c r="K17">
        <v>1.3047660000000001</v>
      </c>
      <c r="L17">
        <v>0.27817700000000001</v>
      </c>
      <c r="M17">
        <f t="shared" si="2"/>
        <v>2</v>
      </c>
      <c r="T17" t="s">
        <v>93</v>
      </c>
      <c r="U17">
        <v>3.1345899470899474</v>
      </c>
      <c r="V17">
        <v>1.3130526666666666</v>
      </c>
    </row>
    <row r="18" spans="1:22" x14ac:dyDescent="0.2">
      <c r="A18" t="s">
        <v>20</v>
      </c>
      <c r="B18">
        <v>14</v>
      </c>
      <c r="C18">
        <v>11.895474999999999</v>
      </c>
      <c r="D18">
        <v>0.84967700000000002</v>
      </c>
      <c r="E18">
        <v>0.94769499999999995</v>
      </c>
      <c r="F18">
        <v>0.25328200000000001</v>
      </c>
      <c r="G18">
        <v>9</v>
      </c>
      <c r="H18">
        <v>14</v>
      </c>
      <c r="I18">
        <v>11.895474999999999</v>
      </c>
      <c r="J18">
        <v>0.84967700000000002</v>
      </c>
      <c r="K18">
        <v>0.94769499999999995</v>
      </c>
      <c r="L18">
        <v>0.25328200000000001</v>
      </c>
      <c r="M18">
        <f>B18/G18</f>
        <v>1.5555555555555556</v>
      </c>
      <c r="T18" t="s">
        <v>114</v>
      </c>
      <c r="U18">
        <v>2.1766330891330887</v>
      </c>
      <c r="V18">
        <v>1.0935598333333332</v>
      </c>
    </row>
    <row r="19" spans="1:22" x14ac:dyDescent="0.2">
      <c r="A19" t="s">
        <v>40</v>
      </c>
      <c r="B19">
        <v>16</v>
      </c>
      <c r="C19">
        <v>24.224229999999999</v>
      </c>
      <c r="D19">
        <v>1.514014</v>
      </c>
      <c r="E19">
        <v>1.7095590000000001</v>
      </c>
      <c r="F19">
        <v>0.42738999999999999</v>
      </c>
      <c r="G19">
        <v>11</v>
      </c>
      <c r="H19">
        <v>16</v>
      </c>
      <c r="I19">
        <v>24.224229999999999</v>
      </c>
      <c r="J19">
        <v>1.514014</v>
      </c>
      <c r="K19">
        <v>1.7095590000000001</v>
      </c>
      <c r="L19">
        <v>0.42738999999999999</v>
      </c>
      <c r="M19">
        <f>B19/G19</f>
        <v>1.4545454545454546</v>
      </c>
      <c r="T19" t="s">
        <v>108</v>
      </c>
      <c r="U19">
        <v>1.9365329115329113</v>
      </c>
      <c r="V19">
        <v>1.0520249090909091</v>
      </c>
    </row>
    <row r="20" spans="1:22" x14ac:dyDescent="0.2">
      <c r="A20" t="s">
        <v>41</v>
      </c>
      <c r="B20">
        <v>16</v>
      </c>
      <c r="C20">
        <v>11.383418000000001</v>
      </c>
      <c r="D20">
        <v>0.71146399999999999</v>
      </c>
      <c r="E20">
        <v>0.56834300000000004</v>
      </c>
      <c r="F20">
        <v>0.14208599999999999</v>
      </c>
      <c r="G20">
        <v>9</v>
      </c>
      <c r="H20">
        <v>16</v>
      </c>
      <c r="I20">
        <v>11.383418000000001</v>
      </c>
      <c r="J20">
        <v>0.71146399999999999</v>
      </c>
      <c r="K20">
        <v>0.56834300000000004</v>
      </c>
      <c r="L20">
        <v>0.14208599999999999</v>
      </c>
      <c r="M20">
        <f>B20/G20</f>
        <v>1.7777777777777777</v>
      </c>
      <c r="T20" t="s">
        <v>104</v>
      </c>
      <c r="U20">
        <v>1.9602564102564102</v>
      </c>
      <c r="V20">
        <v>1.1710525000000003</v>
      </c>
    </row>
    <row r="21" spans="1:22" x14ac:dyDescent="0.2">
      <c r="A21" t="s">
        <v>42</v>
      </c>
      <c r="B21">
        <v>24</v>
      </c>
      <c r="C21">
        <v>19.418773000000002</v>
      </c>
      <c r="D21">
        <v>0.80911599999999995</v>
      </c>
      <c r="E21">
        <v>0.85329900000000003</v>
      </c>
      <c r="F21">
        <v>0.174179</v>
      </c>
      <c r="G21">
        <v>16</v>
      </c>
      <c r="H21">
        <v>24</v>
      </c>
      <c r="I21">
        <v>19.418773000000002</v>
      </c>
      <c r="J21">
        <v>0.80911599999999995</v>
      </c>
      <c r="K21">
        <v>0.85329900000000003</v>
      </c>
      <c r="L21">
        <v>0.174179</v>
      </c>
      <c r="M21">
        <f>B21/G21</f>
        <v>1.5</v>
      </c>
      <c r="T21" t="s">
        <v>98</v>
      </c>
      <c r="U21">
        <v>2.8088383838383839</v>
      </c>
      <c r="V21">
        <v>1.4706620000000001</v>
      </c>
    </row>
    <row r="22" spans="1:22" x14ac:dyDescent="0.2">
      <c r="A22" t="s">
        <v>31</v>
      </c>
      <c r="B22">
        <v>18</v>
      </c>
      <c r="C22">
        <v>23.515228</v>
      </c>
      <c r="D22">
        <v>1.3064020000000001</v>
      </c>
      <c r="E22">
        <v>0.99521099999999996</v>
      </c>
      <c r="F22">
        <v>0.234574</v>
      </c>
      <c r="G22">
        <v>15</v>
      </c>
      <c r="H22">
        <v>18</v>
      </c>
      <c r="I22">
        <v>23.515228</v>
      </c>
      <c r="J22">
        <v>1.3064020000000001</v>
      </c>
      <c r="K22">
        <v>0.99521099999999996</v>
      </c>
      <c r="L22">
        <v>0.234574</v>
      </c>
      <c r="M22">
        <f>B22/G22</f>
        <v>1.2</v>
      </c>
      <c r="T22" t="s">
        <v>106</v>
      </c>
      <c r="U22">
        <v>3.4892463092463095</v>
      </c>
      <c r="V22">
        <v>1.4191852</v>
      </c>
    </row>
    <row r="23" spans="1:22" x14ac:dyDescent="0.2">
      <c r="A23" t="s">
        <v>51</v>
      </c>
      <c r="B23">
        <f t="shared" ref="B23:L23" si="3">AVERAGE(B11:B22)</f>
        <v>17.25</v>
      </c>
      <c r="C23">
        <f t="shared" si="3"/>
        <v>18.952669666666669</v>
      </c>
      <c r="D23">
        <f t="shared" si="3"/>
        <v>1.1141794999999999</v>
      </c>
      <c r="E23">
        <f t="shared" si="3"/>
        <v>1.0675385833333333</v>
      </c>
      <c r="F23">
        <f t="shared" si="3"/>
        <v>0.27831666666666666</v>
      </c>
      <c r="G23">
        <f t="shared" si="3"/>
        <v>10.166666666666666</v>
      </c>
      <c r="H23">
        <f t="shared" si="3"/>
        <v>17.333333333333332</v>
      </c>
      <c r="I23">
        <f t="shared" si="3"/>
        <v>20.078538333333334</v>
      </c>
      <c r="J23">
        <f t="shared" si="3"/>
        <v>1.1382959999999998</v>
      </c>
      <c r="K23">
        <f t="shared" si="3"/>
        <v>1.1584126666666668</v>
      </c>
      <c r="L23">
        <f t="shared" si="3"/>
        <v>0.29201050000000001</v>
      </c>
      <c r="M23">
        <f>AVERAGE(M11:M22)</f>
        <v>1.7385431697931697</v>
      </c>
      <c r="T23" t="s">
        <v>103</v>
      </c>
      <c r="U23">
        <v>3.285353535353535</v>
      </c>
      <c r="V23">
        <v>1.400563</v>
      </c>
    </row>
    <row r="24" spans="1:22" x14ac:dyDescent="0.2">
      <c r="A24" t="s">
        <v>52</v>
      </c>
      <c r="B24">
        <f>STDEV(B11:B17)</f>
        <v>12.165525060596439</v>
      </c>
      <c r="C24">
        <f t="shared" ref="C24:L24" si="4">STDEV(C11:C22)</f>
        <v>10.549671715527955</v>
      </c>
      <c r="D24">
        <f t="shared" si="4"/>
        <v>0.32079316220679743</v>
      </c>
      <c r="E24">
        <f t="shared" si="4"/>
        <v>0.49311241299183362</v>
      </c>
      <c r="F24">
        <f t="shared" si="4"/>
        <v>0.15773300902205442</v>
      </c>
      <c r="G24">
        <f t="shared" si="4"/>
        <v>2.8550858396053802</v>
      </c>
      <c r="H24">
        <f t="shared" si="4"/>
        <v>9.5282673549748154</v>
      </c>
      <c r="I24">
        <f t="shared" si="4"/>
        <v>13.782700020107832</v>
      </c>
      <c r="J24">
        <f t="shared" si="4"/>
        <v>0.32767216367139218</v>
      </c>
      <c r="K24">
        <f t="shared" si="4"/>
        <v>0.58931688319324982</v>
      </c>
      <c r="L24">
        <f t="shared" si="4"/>
        <v>0.15444495704207134</v>
      </c>
      <c r="M24">
        <f>STDEV(M11:M22)</f>
        <v>0.99534655450142906</v>
      </c>
      <c r="T24" t="s">
        <v>99</v>
      </c>
      <c r="U24">
        <v>3.6891369047619049</v>
      </c>
      <c r="V24">
        <v>1.1959023333333334</v>
      </c>
    </row>
    <row r="25" spans="1:22" x14ac:dyDescent="0.2">
      <c r="T25" t="s">
        <v>95</v>
      </c>
      <c r="U25">
        <v>2.1922619047619043</v>
      </c>
      <c r="V25">
        <v>0.66679183333333336</v>
      </c>
    </row>
    <row r="26" spans="1:22" x14ac:dyDescent="0.2">
      <c r="A26" s="1" t="s">
        <v>71</v>
      </c>
      <c r="B26" t="s">
        <v>0</v>
      </c>
      <c r="C26" t="s">
        <v>1</v>
      </c>
      <c r="D26" t="s">
        <v>2</v>
      </c>
      <c r="E26" t="s">
        <v>3</v>
      </c>
      <c r="F26" t="s">
        <v>4</v>
      </c>
      <c r="G26" t="s">
        <v>5</v>
      </c>
      <c r="H26" t="s">
        <v>6</v>
      </c>
      <c r="I26" t="s">
        <v>7</v>
      </c>
      <c r="J26" t="s">
        <v>8</v>
      </c>
      <c r="K26" t="s">
        <v>9</v>
      </c>
      <c r="L26" t="s">
        <v>10</v>
      </c>
      <c r="M26" t="s">
        <v>53</v>
      </c>
      <c r="T26" t="s">
        <v>97</v>
      </c>
      <c r="U26">
        <v>1.2036507936507936</v>
      </c>
      <c r="V26">
        <v>0.6425327999999999</v>
      </c>
    </row>
    <row r="27" spans="1:22" x14ac:dyDescent="0.2">
      <c r="A27" t="s">
        <v>47</v>
      </c>
      <c r="B27">
        <v>22</v>
      </c>
      <c r="C27">
        <v>17.409934</v>
      </c>
      <c r="D27">
        <v>0.79136099999999998</v>
      </c>
      <c r="E27">
        <v>0.82218899999999995</v>
      </c>
      <c r="F27">
        <v>0.175291</v>
      </c>
      <c r="G27">
        <v>9</v>
      </c>
      <c r="H27">
        <v>34</v>
      </c>
      <c r="I27">
        <v>29.856854999999999</v>
      </c>
      <c r="J27">
        <v>0.87814300000000001</v>
      </c>
      <c r="K27">
        <v>0.856491</v>
      </c>
      <c r="L27">
        <v>0.14688699999999999</v>
      </c>
      <c r="M27">
        <f>B27/G27</f>
        <v>2.4444444444444446</v>
      </c>
      <c r="T27" t="s">
        <v>115</v>
      </c>
      <c r="U27">
        <v>1.8449494949494951</v>
      </c>
      <c r="V27">
        <v>1.0453013333333334</v>
      </c>
    </row>
    <row r="28" spans="1:22" x14ac:dyDescent="0.2">
      <c r="A28" t="s">
        <v>48</v>
      </c>
      <c r="B28">
        <v>41</v>
      </c>
      <c r="C28">
        <v>47.503124</v>
      </c>
      <c r="D28">
        <v>1.1586129999999999</v>
      </c>
      <c r="E28">
        <v>1.0649599999999999</v>
      </c>
      <c r="F28">
        <v>0.16631899999999999</v>
      </c>
      <c r="G28">
        <v>10</v>
      </c>
      <c r="H28">
        <v>41</v>
      </c>
      <c r="I28">
        <v>47.503124</v>
      </c>
      <c r="J28">
        <v>1.1586129999999999</v>
      </c>
      <c r="K28">
        <v>1.0649599999999999</v>
      </c>
      <c r="L28">
        <v>0.16631899999999999</v>
      </c>
      <c r="M28">
        <f>B28/G28</f>
        <v>4.0999999999999996</v>
      </c>
      <c r="T28" t="s">
        <v>105</v>
      </c>
      <c r="U28">
        <v>1.5119658119658119</v>
      </c>
      <c r="V28">
        <v>0.76817330769230763</v>
      </c>
    </row>
    <row r="29" spans="1:22" x14ac:dyDescent="0.2">
      <c r="A29" t="s">
        <v>67</v>
      </c>
      <c r="B29">
        <v>18</v>
      </c>
      <c r="C29">
        <v>17.803823999999999</v>
      </c>
      <c r="D29">
        <v>0.98910100000000001</v>
      </c>
      <c r="E29">
        <v>0.91958399999999996</v>
      </c>
      <c r="F29">
        <v>0.216748</v>
      </c>
      <c r="G29">
        <v>8</v>
      </c>
      <c r="H29">
        <v>18</v>
      </c>
      <c r="I29">
        <v>17.803823999999999</v>
      </c>
      <c r="J29">
        <v>0.98910100000000001</v>
      </c>
      <c r="K29">
        <v>0.91958399999999996</v>
      </c>
      <c r="L29">
        <v>0.216748</v>
      </c>
      <c r="M29">
        <f>B29/G29</f>
        <v>2.25</v>
      </c>
      <c r="T29" t="s">
        <v>107</v>
      </c>
      <c r="U29">
        <v>2.4480820105820107</v>
      </c>
      <c r="V29">
        <v>0.74942750000000002</v>
      </c>
    </row>
    <row r="30" spans="1:22" x14ac:dyDescent="0.2">
      <c r="A30" t="s">
        <v>49</v>
      </c>
      <c r="B30">
        <v>15</v>
      </c>
      <c r="C30">
        <v>22.018446000000001</v>
      </c>
      <c r="D30">
        <v>1.4678960000000001</v>
      </c>
      <c r="E30">
        <v>1.1586050000000001</v>
      </c>
      <c r="F30">
        <v>0.299151</v>
      </c>
      <c r="G30">
        <v>5</v>
      </c>
      <c r="H30">
        <v>16</v>
      </c>
      <c r="I30">
        <v>24.263618999999998</v>
      </c>
      <c r="J30">
        <v>1.5164759999999999</v>
      </c>
      <c r="K30">
        <v>1.136061</v>
      </c>
      <c r="L30">
        <v>0.28401500000000002</v>
      </c>
      <c r="M30">
        <f>AVERAGE(M27:M29)</f>
        <v>2.9314814814814816</v>
      </c>
    </row>
    <row r="31" spans="1:22" x14ac:dyDescent="0.2">
      <c r="A31" t="s">
        <v>36</v>
      </c>
      <c r="B31">
        <v>13</v>
      </c>
      <c r="C31">
        <v>13.943702999999999</v>
      </c>
      <c r="D31">
        <v>1.0725929999999999</v>
      </c>
      <c r="E31">
        <v>0.807419</v>
      </c>
      <c r="F31">
        <v>0.223938</v>
      </c>
      <c r="G31">
        <v>4</v>
      </c>
      <c r="H31">
        <v>15</v>
      </c>
      <c r="I31">
        <v>14.534538</v>
      </c>
      <c r="J31">
        <v>0.96896899999999997</v>
      </c>
      <c r="K31">
        <v>0.79767699999999997</v>
      </c>
      <c r="L31">
        <v>0.205959</v>
      </c>
      <c r="M31">
        <f>STDEV(M27:M29)</f>
        <v>1.0166261882247398</v>
      </c>
    </row>
    <row r="32" spans="1:22" x14ac:dyDescent="0.2">
      <c r="A32" t="s">
        <v>51</v>
      </c>
      <c r="B32">
        <f>AVERAGE(B27:B31)</f>
        <v>21.8</v>
      </c>
      <c r="C32">
        <f t="shared" ref="C32:M32" si="5">AVERAGE(C27:C31)</f>
        <v>23.735806199999999</v>
      </c>
      <c r="D32">
        <f t="shared" si="5"/>
        <v>1.0959128</v>
      </c>
      <c r="E32">
        <f t="shared" si="5"/>
        <v>0.95455140000000005</v>
      </c>
      <c r="F32">
        <f t="shared" si="5"/>
        <v>0.21628939999999997</v>
      </c>
      <c r="G32">
        <f t="shared" si="5"/>
        <v>7.2</v>
      </c>
      <c r="H32">
        <f t="shared" si="5"/>
        <v>24.8</v>
      </c>
      <c r="I32">
        <f t="shared" si="5"/>
        <v>26.792392</v>
      </c>
      <c r="J32">
        <f t="shared" si="5"/>
        <v>1.1022604</v>
      </c>
      <c r="K32">
        <f t="shared" si="5"/>
        <v>0.95495459999999999</v>
      </c>
      <c r="L32">
        <f t="shared" si="5"/>
        <v>0.20398560000000004</v>
      </c>
      <c r="M32">
        <f t="shared" si="5"/>
        <v>2.548510422830133</v>
      </c>
    </row>
    <row r="33" spans="1:23" x14ac:dyDescent="0.2">
      <c r="A33" t="s">
        <v>52</v>
      </c>
      <c r="B33">
        <f>STDEV(B27:B31)</f>
        <v>11.25610945220417</v>
      </c>
      <c r="C33">
        <f t="shared" ref="C33:M33" si="6">STDEV(C27:C31)</f>
        <v>13.591588193199138</v>
      </c>
      <c r="D33">
        <f t="shared" si="6"/>
        <v>0.24849908890014083</v>
      </c>
      <c r="E33">
        <f t="shared" si="6"/>
        <v>0.15347507758036721</v>
      </c>
      <c r="F33">
        <f t="shared" si="6"/>
        <v>5.2684594117256074E-2</v>
      </c>
      <c r="G33">
        <f t="shared" si="6"/>
        <v>2.5884358211089573</v>
      </c>
      <c r="H33">
        <f t="shared" si="6"/>
        <v>11.903780911962386</v>
      </c>
      <c r="I33">
        <f t="shared" si="6"/>
        <v>12.997782365808233</v>
      </c>
      <c r="J33">
        <f t="shared" si="6"/>
        <v>0.2527599824513363</v>
      </c>
      <c r="K33">
        <f t="shared" si="6"/>
        <v>0.14193583011452737</v>
      </c>
      <c r="L33">
        <f t="shared" si="6"/>
        <v>5.3034189216014063E-2</v>
      </c>
      <c r="M33">
        <f t="shared" si="6"/>
        <v>1.1180780661988026</v>
      </c>
    </row>
    <row r="35" spans="1:23" x14ac:dyDescent="0.2">
      <c r="A35" s="1" t="s">
        <v>72</v>
      </c>
      <c r="B35" t="s">
        <v>0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6</v>
      </c>
      <c r="I35" t="s">
        <v>7</v>
      </c>
      <c r="J35" t="s">
        <v>8</v>
      </c>
      <c r="K35" t="s">
        <v>9</v>
      </c>
      <c r="L35" t="s">
        <v>10</v>
      </c>
      <c r="M35" t="s">
        <v>53</v>
      </c>
    </row>
    <row r="36" spans="1:23" x14ac:dyDescent="0.2">
      <c r="A36" t="s">
        <v>37</v>
      </c>
      <c r="B36">
        <v>18</v>
      </c>
      <c r="C36">
        <v>14.061870000000001</v>
      </c>
      <c r="D36">
        <v>0.78121499999999999</v>
      </c>
      <c r="E36">
        <v>0.62444100000000002</v>
      </c>
      <c r="F36">
        <v>0.14718200000000001</v>
      </c>
      <c r="G36">
        <v>8</v>
      </c>
      <c r="H36">
        <v>18</v>
      </c>
      <c r="I36">
        <v>14.061870000000001</v>
      </c>
      <c r="J36">
        <v>0.78121499999999999</v>
      </c>
      <c r="K36">
        <v>0.62444100000000002</v>
      </c>
      <c r="L36">
        <v>0.14718200000000001</v>
      </c>
      <c r="M36">
        <f t="shared" ref="M36:M41" si="7">B36/G36</f>
        <v>2.25</v>
      </c>
      <c r="V36" t="s">
        <v>120</v>
      </c>
      <c r="W36" t="s">
        <v>121</v>
      </c>
    </row>
    <row r="37" spans="1:23" x14ac:dyDescent="0.2">
      <c r="A37" t="s">
        <v>38</v>
      </c>
      <c r="B37">
        <v>18</v>
      </c>
      <c r="C37">
        <v>18.788549</v>
      </c>
      <c r="D37">
        <v>1.0438080000000001</v>
      </c>
      <c r="E37">
        <v>0.91284600000000005</v>
      </c>
      <c r="F37">
        <v>0.21515999999999999</v>
      </c>
      <c r="G37">
        <v>4</v>
      </c>
      <c r="H37">
        <v>18</v>
      </c>
      <c r="I37">
        <v>18.788549</v>
      </c>
      <c r="J37">
        <v>1.0438080000000001</v>
      </c>
      <c r="K37">
        <v>0.91284600000000005</v>
      </c>
      <c r="L37">
        <v>0.21515999999999999</v>
      </c>
      <c r="M37">
        <f t="shared" si="7"/>
        <v>4.5</v>
      </c>
      <c r="V37">
        <v>1</v>
      </c>
      <c r="W37">
        <v>1.7385431697931697</v>
      </c>
    </row>
    <row r="38" spans="1:23" x14ac:dyDescent="0.2">
      <c r="A38" t="s">
        <v>39</v>
      </c>
      <c r="B38">
        <v>11</v>
      </c>
      <c r="C38">
        <v>9.3745799999999999</v>
      </c>
      <c r="D38">
        <v>0.85223499999999996</v>
      </c>
      <c r="E38">
        <v>0.90890000000000004</v>
      </c>
      <c r="F38">
        <v>0.27404400000000001</v>
      </c>
      <c r="G38">
        <v>4</v>
      </c>
      <c r="H38">
        <v>11</v>
      </c>
      <c r="I38">
        <v>9.3745799999999999</v>
      </c>
      <c r="J38">
        <v>0.85223499999999996</v>
      </c>
      <c r="K38">
        <v>0.90890000000000004</v>
      </c>
      <c r="L38">
        <v>0.27404400000000001</v>
      </c>
      <c r="M38">
        <f t="shared" si="7"/>
        <v>2.75</v>
      </c>
      <c r="V38">
        <v>2</v>
      </c>
      <c r="W38">
        <v>1.7385431697931697</v>
      </c>
    </row>
    <row r="39" spans="1:23" x14ac:dyDescent="0.2">
      <c r="A39" t="s">
        <v>28</v>
      </c>
      <c r="B39">
        <v>13</v>
      </c>
      <c r="C39">
        <v>13.589202</v>
      </c>
      <c r="D39">
        <v>1.045323</v>
      </c>
      <c r="E39">
        <v>0.81403099999999995</v>
      </c>
      <c r="F39">
        <v>0.225772</v>
      </c>
      <c r="G39">
        <v>7</v>
      </c>
      <c r="H39">
        <v>13</v>
      </c>
      <c r="I39">
        <v>13.589202</v>
      </c>
      <c r="J39">
        <v>1.045323</v>
      </c>
      <c r="K39">
        <v>0.81403099999999995</v>
      </c>
      <c r="L39">
        <v>0.225772</v>
      </c>
      <c r="M39">
        <f t="shared" si="7"/>
        <v>1.8571428571428572</v>
      </c>
      <c r="V39">
        <v>3</v>
      </c>
      <c r="W39">
        <v>1.7385431697931697</v>
      </c>
    </row>
    <row r="40" spans="1:23" x14ac:dyDescent="0.2">
      <c r="A40" t="s">
        <v>29</v>
      </c>
      <c r="B40">
        <v>4</v>
      </c>
      <c r="C40">
        <v>7.8777980000000003</v>
      </c>
      <c r="D40">
        <v>1.9694499999999999</v>
      </c>
      <c r="E40">
        <v>1.133874</v>
      </c>
      <c r="F40">
        <v>0.56693700000000002</v>
      </c>
      <c r="G40">
        <v>7</v>
      </c>
      <c r="H40">
        <v>4</v>
      </c>
      <c r="I40">
        <v>7.8777980000000003</v>
      </c>
      <c r="J40">
        <v>1.9694499999999999</v>
      </c>
      <c r="K40">
        <v>1.133874</v>
      </c>
      <c r="L40">
        <v>0.56693700000000002</v>
      </c>
      <c r="M40">
        <f t="shared" si="7"/>
        <v>0.5714285714285714</v>
      </c>
      <c r="V40">
        <v>4</v>
      </c>
      <c r="W40">
        <v>1.7385431697931697</v>
      </c>
    </row>
    <row r="41" spans="1:23" x14ac:dyDescent="0.2">
      <c r="A41" t="s">
        <v>30</v>
      </c>
      <c r="B41">
        <v>13</v>
      </c>
      <c r="C41">
        <v>12.092420000000001</v>
      </c>
      <c r="D41">
        <v>0.93018599999999996</v>
      </c>
      <c r="E41">
        <v>0.72353999999999996</v>
      </c>
      <c r="F41">
        <v>0.20067399999999999</v>
      </c>
      <c r="G41">
        <v>11</v>
      </c>
      <c r="H41">
        <v>14</v>
      </c>
      <c r="I41">
        <v>12.171198</v>
      </c>
      <c r="J41">
        <v>0.869371</v>
      </c>
      <c r="K41">
        <v>0.73144900000000002</v>
      </c>
      <c r="L41">
        <v>0.195488</v>
      </c>
      <c r="M41">
        <f t="shared" si="7"/>
        <v>1.1818181818181819</v>
      </c>
    </row>
    <row r="42" spans="1:23" x14ac:dyDescent="0.2">
      <c r="A42" t="s">
        <v>51</v>
      </c>
      <c r="B42">
        <f>AVERAGE(B36:B41)</f>
        <v>12.833333333333334</v>
      </c>
      <c r="C42">
        <f t="shared" ref="C42:M42" si="8">AVERAGE(C36:C41)</f>
        <v>12.630736499999999</v>
      </c>
      <c r="D42">
        <f t="shared" si="8"/>
        <v>1.1037028333333334</v>
      </c>
      <c r="E42">
        <f t="shared" si="8"/>
        <v>0.85293866666666673</v>
      </c>
      <c r="F42">
        <f t="shared" si="8"/>
        <v>0.27162816666666667</v>
      </c>
      <c r="G42">
        <f t="shared" si="8"/>
        <v>6.833333333333333</v>
      </c>
      <c r="H42">
        <f t="shared" si="8"/>
        <v>13</v>
      </c>
      <c r="I42">
        <f t="shared" si="8"/>
        <v>12.643866166666667</v>
      </c>
      <c r="J42">
        <f t="shared" si="8"/>
        <v>1.093567</v>
      </c>
      <c r="K42">
        <f t="shared" si="8"/>
        <v>0.85425683333333335</v>
      </c>
      <c r="L42">
        <f t="shared" si="8"/>
        <v>0.27076383333333331</v>
      </c>
      <c r="M42">
        <f t="shared" si="8"/>
        <v>2.1850649350649349</v>
      </c>
    </row>
    <row r="43" spans="1:23" x14ac:dyDescent="0.2">
      <c r="A43" t="s">
        <v>52</v>
      </c>
      <c r="B43">
        <f>STDEV(B36:B41)</f>
        <v>5.1929439306299736</v>
      </c>
      <c r="C43">
        <f t="shared" ref="C43:M43" si="9">STDEV(C36:C41)</f>
        <v>3.8566363112462563</v>
      </c>
      <c r="D43">
        <f t="shared" si="9"/>
        <v>0.43677369835896318</v>
      </c>
      <c r="E43">
        <f t="shared" si="9"/>
        <v>0.17669987326726244</v>
      </c>
      <c r="F43">
        <f t="shared" si="9"/>
        <v>0.15035020939714935</v>
      </c>
      <c r="G43">
        <f t="shared" si="9"/>
        <v>2.6394443859772201</v>
      </c>
      <c r="H43">
        <f t="shared" si="9"/>
        <v>5.215361924162119</v>
      </c>
      <c r="I43">
        <f t="shared" si="9"/>
        <v>3.8545706592575226</v>
      </c>
      <c r="J43">
        <f t="shared" si="9"/>
        <v>0.44227666089225159</v>
      </c>
      <c r="K43">
        <f t="shared" si="9"/>
        <v>0.1755673801449654</v>
      </c>
      <c r="L43">
        <f t="shared" si="9"/>
        <v>0.15085375441720594</v>
      </c>
      <c r="M43">
        <f t="shared" si="9"/>
        <v>1.3711419909152873</v>
      </c>
    </row>
    <row r="45" spans="1:23" x14ac:dyDescent="0.2">
      <c r="A45" s="1" t="s">
        <v>73</v>
      </c>
      <c r="B45" t="s">
        <v>0</v>
      </c>
      <c r="C45" t="s">
        <v>1</v>
      </c>
      <c r="D45" t="s">
        <v>2</v>
      </c>
      <c r="E45" t="s">
        <v>3</v>
      </c>
      <c r="F45" t="s">
        <v>4</v>
      </c>
      <c r="G45" t="s">
        <v>5</v>
      </c>
      <c r="H45" t="s">
        <v>6</v>
      </c>
      <c r="I45" t="s">
        <v>7</v>
      </c>
      <c r="J45" t="s">
        <v>8</v>
      </c>
      <c r="K45" t="s">
        <v>9</v>
      </c>
      <c r="L45" t="s">
        <v>10</v>
      </c>
      <c r="M45" t="s">
        <v>53</v>
      </c>
    </row>
    <row r="46" spans="1:23" x14ac:dyDescent="0.2">
      <c r="A46" t="s">
        <v>50</v>
      </c>
      <c r="B46">
        <v>16</v>
      </c>
      <c r="C46">
        <v>14.061870000000001</v>
      </c>
      <c r="D46">
        <v>0.87886699999999995</v>
      </c>
      <c r="E46">
        <v>0.70103800000000005</v>
      </c>
      <c r="F46">
        <v>0.17526</v>
      </c>
      <c r="G46">
        <v>12</v>
      </c>
      <c r="H46">
        <v>16</v>
      </c>
      <c r="I46">
        <v>14.061870000000001</v>
      </c>
      <c r="J46">
        <v>0.87886699999999995</v>
      </c>
      <c r="K46">
        <v>0.70103800000000005</v>
      </c>
      <c r="L46">
        <v>0.17526</v>
      </c>
      <c r="M46">
        <f>B46/G46</f>
        <v>1.3333333333333333</v>
      </c>
    </row>
    <row r="47" spans="1:23" x14ac:dyDescent="0.2">
      <c r="A47" t="s">
        <v>11</v>
      </c>
      <c r="B47">
        <v>8</v>
      </c>
      <c r="C47">
        <v>11.580363</v>
      </c>
      <c r="D47">
        <v>1.4475450000000001</v>
      </c>
      <c r="E47">
        <v>1.105451</v>
      </c>
      <c r="F47">
        <v>0.39083600000000002</v>
      </c>
      <c r="G47">
        <v>6</v>
      </c>
      <c r="H47">
        <v>8</v>
      </c>
      <c r="I47">
        <v>11.580363</v>
      </c>
      <c r="J47">
        <v>1.4475450000000001</v>
      </c>
      <c r="K47">
        <v>1.105451</v>
      </c>
      <c r="L47">
        <v>0.39083600000000002</v>
      </c>
      <c r="M47">
        <f>B47/G47</f>
        <v>1.3333333333333333</v>
      </c>
    </row>
    <row r="48" spans="1:23" x14ac:dyDescent="0.2">
      <c r="A48" t="s">
        <v>12</v>
      </c>
      <c r="B48">
        <v>10</v>
      </c>
      <c r="C48">
        <v>11.777308</v>
      </c>
      <c r="D48">
        <v>1.1777310000000001</v>
      </c>
      <c r="E48">
        <v>0.95521299999999998</v>
      </c>
      <c r="F48">
        <v>0.30206499999999997</v>
      </c>
      <c r="G48">
        <v>6</v>
      </c>
      <c r="H48">
        <v>10</v>
      </c>
      <c r="I48">
        <v>11.777308</v>
      </c>
      <c r="J48">
        <v>1.1777310000000001</v>
      </c>
      <c r="K48">
        <v>0.95521299999999998</v>
      </c>
      <c r="L48">
        <v>0.30206499999999997</v>
      </c>
      <c r="M48">
        <f>B48/G48</f>
        <v>1.6666666666666667</v>
      </c>
    </row>
    <row r="49" spans="1:13" x14ac:dyDescent="0.2">
      <c r="A49" t="s">
        <v>13</v>
      </c>
      <c r="B49">
        <v>18</v>
      </c>
      <c r="C49">
        <v>20.915554</v>
      </c>
      <c r="D49">
        <v>1.161975</v>
      </c>
      <c r="E49">
        <v>1.0806770000000001</v>
      </c>
      <c r="F49">
        <v>0.254718</v>
      </c>
      <c r="G49">
        <v>11</v>
      </c>
      <c r="H49">
        <v>18</v>
      </c>
      <c r="I49">
        <v>20.915554</v>
      </c>
      <c r="J49">
        <v>1.161975</v>
      </c>
      <c r="K49">
        <v>1.0806770000000001</v>
      </c>
      <c r="L49">
        <v>0.254718</v>
      </c>
      <c r="M49">
        <f>B49/G49</f>
        <v>1.6363636363636365</v>
      </c>
    </row>
    <row r="50" spans="1:13" x14ac:dyDescent="0.2">
      <c r="A50" t="s">
        <v>14</v>
      </c>
      <c r="B50">
        <v>14</v>
      </c>
      <c r="C50">
        <v>10.516861</v>
      </c>
      <c r="D50">
        <v>0.75120399999999998</v>
      </c>
      <c r="E50">
        <v>0.56628000000000001</v>
      </c>
      <c r="F50">
        <v>0.15134500000000001</v>
      </c>
      <c r="G50">
        <v>9</v>
      </c>
      <c r="H50">
        <v>14</v>
      </c>
      <c r="I50">
        <v>10.516861</v>
      </c>
      <c r="J50">
        <v>0.75120399999999998</v>
      </c>
      <c r="K50">
        <v>0.56628000000000001</v>
      </c>
      <c r="L50">
        <v>0.15134500000000001</v>
      </c>
      <c r="M50">
        <f>B50/G50</f>
        <v>1.5555555555555556</v>
      </c>
    </row>
    <row r="51" spans="1:13" x14ac:dyDescent="0.2">
      <c r="A51" t="s">
        <v>51</v>
      </c>
      <c r="B51">
        <f t="shared" ref="B51:M51" si="10">AVERAGE(B46:B50)</f>
        <v>13.2</v>
      </c>
      <c r="C51">
        <f t="shared" si="10"/>
        <v>13.770391200000001</v>
      </c>
      <c r="D51">
        <f t="shared" si="10"/>
        <v>1.0834644</v>
      </c>
      <c r="E51">
        <f t="shared" si="10"/>
        <v>0.88173180000000007</v>
      </c>
      <c r="F51">
        <f t="shared" si="10"/>
        <v>0.25484479999999998</v>
      </c>
      <c r="G51">
        <f t="shared" si="10"/>
        <v>8.8000000000000007</v>
      </c>
      <c r="H51">
        <f t="shared" si="10"/>
        <v>13.2</v>
      </c>
      <c r="I51">
        <f t="shared" si="10"/>
        <v>13.770391200000001</v>
      </c>
      <c r="J51">
        <f t="shared" si="10"/>
        <v>1.0834644</v>
      </c>
      <c r="K51">
        <f t="shared" si="10"/>
        <v>0.88173180000000007</v>
      </c>
      <c r="L51">
        <f t="shared" si="10"/>
        <v>0.25484479999999998</v>
      </c>
      <c r="M51">
        <f t="shared" si="10"/>
        <v>1.505050505050505</v>
      </c>
    </row>
    <row r="52" spans="1:13" x14ac:dyDescent="0.2">
      <c r="A52" t="s">
        <v>52</v>
      </c>
      <c r="B52">
        <f>STDEV(B46:B50)</f>
        <v>4.147288270665543</v>
      </c>
      <c r="C52">
        <f t="shared" ref="C52:M52" si="11">STDEV(C46:C50)</f>
        <v>4.1979868464117081</v>
      </c>
      <c r="D52">
        <f t="shared" si="11"/>
        <v>0.27379821903146068</v>
      </c>
      <c r="E52">
        <f t="shared" si="11"/>
        <v>0.23832176111656292</v>
      </c>
      <c r="F52">
        <f t="shared" si="11"/>
        <v>9.7171650745986618E-2</v>
      </c>
      <c r="G52">
        <f t="shared" si="11"/>
        <v>2.7748873851023221</v>
      </c>
      <c r="H52">
        <f t="shared" si="11"/>
        <v>4.147288270665543</v>
      </c>
      <c r="I52">
        <f t="shared" si="11"/>
        <v>4.1979868464117081</v>
      </c>
      <c r="J52">
        <f t="shared" si="11"/>
        <v>0.27379821903146068</v>
      </c>
      <c r="K52">
        <f t="shared" si="11"/>
        <v>0.23832176111656292</v>
      </c>
      <c r="L52">
        <f t="shared" si="11"/>
        <v>9.7171650745986618E-2</v>
      </c>
      <c r="M52">
        <f t="shared" si="11"/>
        <v>0.16193151052405461</v>
      </c>
    </row>
    <row r="54" spans="1:13" x14ac:dyDescent="0.2">
      <c r="A54" s="1" t="s">
        <v>74</v>
      </c>
      <c r="B54" t="s">
        <v>0</v>
      </c>
      <c r="C54" t="s">
        <v>1</v>
      </c>
      <c r="D54" t="s">
        <v>2</v>
      </c>
      <c r="E54" t="s">
        <v>3</v>
      </c>
      <c r="F54" t="s">
        <v>4</v>
      </c>
      <c r="G54" t="s">
        <v>5</v>
      </c>
      <c r="H54" t="s">
        <v>6</v>
      </c>
      <c r="I54" t="s">
        <v>7</v>
      </c>
      <c r="J54" t="s">
        <v>8</v>
      </c>
      <c r="K54" t="s">
        <v>9</v>
      </c>
      <c r="L54" t="s">
        <v>10</v>
      </c>
      <c r="M54" t="s">
        <v>53</v>
      </c>
    </row>
    <row r="55" spans="1:13" x14ac:dyDescent="0.2">
      <c r="A55" t="s">
        <v>43</v>
      </c>
      <c r="B55">
        <v>5</v>
      </c>
      <c r="C55">
        <v>2.9541740000000001</v>
      </c>
      <c r="D55">
        <v>0.590835</v>
      </c>
      <c r="E55">
        <v>0.49667600000000001</v>
      </c>
      <c r="F55">
        <v>0.22212000000000001</v>
      </c>
      <c r="G55">
        <v>6</v>
      </c>
      <c r="H55">
        <v>5</v>
      </c>
      <c r="I55">
        <v>2.9541740000000001</v>
      </c>
      <c r="J55">
        <v>0.590835</v>
      </c>
      <c r="K55">
        <v>0.49667600000000001</v>
      </c>
      <c r="L55">
        <v>0.22212000000000001</v>
      </c>
      <c r="M55">
        <f t="shared" ref="M55:M60" si="12">B55/G55</f>
        <v>0.83333333333333337</v>
      </c>
    </row>
    <row r="56" spans="1:13" x14ac:dyDescent="0.2">
      <c r="A56" t="s">
        <v>44</v>
      </c>
      <c r="B56">
        <v>3</v>
      </c>
      <c r="C56">
        <v>3.0723410000000002</v>
      </c>
      <c r="D56">
        <v>1.024114</v>
      </c>
      <c r="E56">
        <v>1.033164</v>
      </c>
      <c r="F56">
        <v>0.59649700000000005</v>
      </c>
      <c r="G56">
        <v>3</v>
      </c>
      <c r="H56">
        <v>3</v>
      </c>
      <c r="I56">
        <v>3.0723410000000002</v>
      </c>
      <c r="J56">
        <v>1.024114</v>
      </c>
      <c r="K56">
        <v>1.033164</v>
      </c>
      <c r="L56">
        <v>0.59649700000000005</v>
      </c>
      <c r="M56">
        <f t="shared" si="12"/>
        <v>1</v>
      </c>
    </row>
    <row r="57" spans="1:13" x14ac:dyDescent="0.2">
      <c r="A57" t="s">
        <v>45</v>
      </c>
      <c r="B57">
        <v>8</v>
      </c>
      <c r="C57">
        <v>5.0811799999999998</v>
      </c>
      <c r="D57">
        <v>0.63514700000000002</v>
      </c>
      <c r="E57">
        <v>0.34815299999999999</v>
      </c>
      <c r="F57">
        <v>0.12309100000000001</v>
      </c>
      <c r="G57">
        <v>9</v>
      </c>
      <c r="H57">
        <v>8</v>
      </c>
      <c r="I57">
        <v>5.0811799999999998</v>
      </c>
      <c r="J57">
        <v>0.63514700000000002</v>
      </c>
      <c r="K57">
        <v>0.34815299999999999</v>
      </c>
      <c r="L57">
        <v>0.12309100000000001</v>
      </c>
      <c r="M57">
        <f t="shared" si="12"/>
        <v>0.88888888888888884</v>
      </c>
    </row>
    <row r="58" spans="1:13" x14ac:dyDescent="0.2">
      <c r="A58" t="s">
        <v>46</v>
      </c>
      <c r="B58">
        <v>4</v>
      </c>
      <c r="C58">
        <v>1.8906719999999999</v>
      </c>
      <c r="D58">
        <v>0.47266799999999998</v>
      </c>
      <c r="E58">
        <v>0.24493100000000001</v>
      </c>
      <c r="F58">
        <v>0.122465</v>
      </c>
      <c r="G58">
        <v>9</v>
      </c>
      <c r="H58">
        <v>4</v>
      </c>
      <c r="I58">
        <v>1.8906719999999999</v>
      </c>
      <c r="J58">
        <v>0.47266799999999998</v>
      </c>
      <c r="K58">
        <v>0.24493100000000001</v>
      </c>
      <c r="L58">
        <v>0.122465</v>
      </c>
      <c r="M58">
        <f t="shared" si="12"/>
        <v>0.44444444444444442</v>
      </c>
    </row>
    <row r="59" spans="1:13" x14ac:dyDescent="0.2">
      <c r="A59" t="s">
        <v>34</v>
      </c>
      <c r="B59">
        <v>4</v>
      </c>
      <c r="C59">
        <v>1.930061</v>
      </c>
      <c r="D59">
        <v>0.48251500000000003</v>
      </c>
      <c r="E59">
        <v>0.33480599999999999</v>
      </c>
      <c r="F59">
        <v>0.167403</v>
      </c>
      <c r="G59">
        <v>8</v>
      </c>
      <c r="H59">
        <v>4</v>
      </c>
      <c r="I59">
        <v>1.930061</v>
      </c>
      <c r="J59">
        <v>0.48251500000000003</v>
      </c>
      <c r="K59">
        <v>0.33480599999999999</v>
      </c>
      <c r="L59">
        <v>0.167403</v>
      </c>
      <c r="M59">
        <f t="shared" si="12"/>
        <v>0.5</v>
      </c>
    </row>
    <row r="60" spans="1:13" x14ac:dyDescent="0.2">
      <c r="A60" t="s">
        <v>35</v>
      </c>
      <c r="B60">
        <v>13</v>
      </c>
      <c r="C60">
        <v>7.9171870000000002</v>
      </c>
      <c r="D60">
        <v>0.60901400000000006</v>
      </c>
      <c r="E60">
        <v>0.60245300000000002</v>
      </c>
      <c r="F60">
        <v>0.16708999999999999</v>
      </c>
      <c r="G60">
        <v>13</v>
      </c>
      <c r="H60">
        <v>13</v>
      </c>
      <c r="I60">
        <v>7.9171870000000002</v>
      </c>
      <c r="J60">
        <v>0.60901400000000006</v>
      </c>
      <c r="K60">
        <v>0.60245300000000002</v>
      </c>
      <c r="L60">
        <v>0.16708999999999999</v>
      </c>
      <c r="M60">
        <f t="shared" si="12"/>
        <v>1</v>
      </c>
    </row>
    <row r="61" spans="1:13" x14ac:dyDescent="0.2">
      <c r="A61" t="s">
        <v>51</v>
      </c>
      <c r="B61">
        <f t="shared" ref="B61:M61" si="13">AVERAGE(B55:B60)</f>
        <v>6.166666666666667</v>
      </c>
      <c r="C61">
        <f t="shared" si="13"/>
        <v>3.8076025000000002</v>
      </c>
      <c r="D61">
        <f t="shared" si="13"/>
        <v>0.63571549999999999</v>
      </c>
      <c r="E61">
        <f t="shared" si="13"/>
        <v>0.51003050000000005</v>
      </c>
      <c r="F61">
        <f t="shared" si="13"/>
        <v>0.23311099999999998</v>
      </c>
      <c r="G61">
        <f t="shared" si="13"/>
        <v>8</v>
      </c>
      <c r="H61">
        <f t="shared" si="13"/>
        <v>6.166666666666667</v>
      </c>
      <c r="I61">
        <f t="shared" si="13"/>
        <v>3.8076025000000002</v>
      </c>
      <c r="J61">
        <f t="shared" si="13"/>
        <v>0.63571549999999999</v>
      </c>
      <c r="K61">
        <f t="shared" si="13"/>
        <v>0.51003050000000005</v>
      </c>
      <c r="L61">
        <f t="shared" si="13"/>
        <v>0.23311099999999998</v>
      </c>
      <c r="M61">
        <f t="shared" si="13"/>
        <v>0.77777777777777779</v>
      </c>
    </row>
    <row r="62" spans="1:13" x14ac:dyDescent="0.2">
      <c r="A62" t="s">
        <v>52</v>
      </c>
      <c r="B62">
        <f>STDEV(B55:B60)</f>
        <v>3.7638632635454052</v>
      </c>
      <c r="C62">
        <f t="shared" ref="C62:M62" si="14">STDEV(C55:C60)</f>
        <v>2.3229041613976888</v>
      </c>
      <c r="D62">
        <f t="shared" si="14"/>
        <v>0.2018097261449506</v>
      </c>
      <c r="E62">
        <f t="shared" si="14"/>
        <v>0.28620783193529131</v>
      </c>
      <c r="F62">
        <f t="shared" si="14"/>
        <v>0.18176547444330568</v>
      </c>
      <c r="G62">
        <f t="shared" si="14"/>
        <v>3.3466401061363023</v>
      </c>
      <c r="H62">
        <f t="shared" si="14"/>
        <v>3.7638632635454052</v>
      </c>
      <c r="I62">
        <f t="shared" si="14"/>
        <v>2.3229041613976888</v>
      </c>
      <c r="J62">
        <f t="shared" si="14"/>
        <v>0.2018097261449506</v>
      </c>
      <c r="K62">
        <f t="shared" si="14"/>
        <v>0.28620783193529131</v>
      </c>
      <c r="L62">
        <f t="shared" si="14"/>
        <v>0.18176547444330568</v>
      </c>
      <c r="M62">
        <f t="shared" si="14"/>
        <v>0.24595492912420711</v>
      </c>
    </row>
    <row r="64" spans="1:13" x14ac:dyDescent="0.2">
      <c r="A64" s="1" t="s">
        <v>76</v>
      </c>
      <c r="B64" t="s">
        <v>0</v>
      </c>
      <c r="C64" t="s">
        <v>1</v>
      </c>
      <c r="D64" t="s">
        <v>2</v>
      </c>
      <c r="E64" t="s">
        <v>3</v>
      </c>
      <c r="F64" t="s">
        <v>4</v>
      </c>
      <c r="G64" t="s">
        <v>5</v>
      </c>
      <c r="H64" t="s">
        <v>6</v>
      </c>
      <c r="I64" t="s">
        <v>7</v>
      </c>
      <c r="J64" t="s">
        <v>8</v>
      </c>
      <c r="K64" t="s">
        <v>9</v>
      </c>
      <c r="L64" t="s">
        <v>10</v>
      </c>
      <c r="M64" t="s">
        <v>53</v>
      </c>
    </row>
    <row r="65" spans="1:13" x14ac:dyDescent="0.2">
      <c r="A65" t="s">
        <v>75</v>
      </c>
      <c r="B65">
        <v>6</v>
      </c>
      <c r="C65">
        <v>4.4509559999999997</v>
      </c>
      <c r="D65">
        <v>0.74182599999999999</v>
      </c>
      <c r="E65">
        <v>0.94317200000000001</v>
      </c>
      <c r="F65">
        <v>0.38504899999999997</v>
      </c>
      <c r="G65">
        <v>5</v>
      </c>
      <c r="H65">
        <v>6</v>
      </c>
      <c r="I65">
        <v>4.4509559999999997</v>
      </c>
      <c r="J65">
        <v>0.74182599999999999</v>
      </c>
      <c r="K65">
        <v>0.94317200000000001</v>
      </c>
      <c r="L65">
        <v>0.38504899999999997</v>
      </c>
      <c r="M65">
        <f t="shared" ref="M65:M70" si="15">B65/G65</f>
        <v>1.2</v>
      </c>
    </row>
    <row r="66" spans="1:13" x14ac:dyDescent="0.2">
      <c r="A66" t="s">
        <v>25</v>
      </c>
      <c r="B66">
        <v>10</v>
      </c>
      <c r="C66">
        <v>10.950139999999999</v>
      </c>
      <c r="D66">
        <v>1.0950139999999999</v>
      </c>
      <c r="E66">
        <v>0.74291200000000002</v>
      </c>
      <c r="F66">
        <v>0.234929</v>
      </c>
      <c r="G66">
        <v>5</v>
      </c>
      <c r="H66">
        <v>10</v>
      </c>
      <c r="I66">
        <v>10.950139999999999</v>
      </c>
      <c r="J66">
        <v>1.0950139999999999</v>
      </c>
      <c r="K66">
        <v>0.74291200000000002</v>
      </c>
      <c r="L66">
        <v>0.234929</v>
      </c>
      <c r="M66">
        <f t="shared" si="15"/>
        <v>2</v>
      </c>
    </row>
    <row r="67" spans="1:13" x14ac:dyDescent="0.2">
      <c r="A67" t="s">
        <v>26</v>
      </c>
      <c r="B67">
        <v>14</v>
      </c>
      <c r="C67">
        <v>11.777308</v>
      </c>
      <c r="D67">
        <v>0.84123599999999998</v>
      </c>
      <c r="E67">
        <v>0.90688299999999999</v>
      </c>
      <c r="F67">
        <v>0.24237500000000001</v>
      </c>
      <c r="G67">
        <v>5</v>
      </c>
      <c r="H67">
        <v>14</v>
      </c>
      <c r="I67">
        <v>11.777308</v>
      </c>
      <c r="J67">
        <v>0.84123599999999998</v>
      </c>
      <c r="K67">
        <v>0.90688299999999999</v>
      </c>
      <c r="L67">
        <v>0.24237500000000001</v>
      </c>
      <c r="M67">
        <f t="shared" si="15"/>
        <v>2.8</v>
      </c>
    </row>
    <row r="68" spans="1:13" x14ac:dyDescent="0.2">
      <c r="A68" t="s">
        <v>27</v>
      </c>
      <c r="B68">
        <v>10</v>
      </c>
      <c r="C68">
        <v>12.840811</v>
      </c>
      <c r="D68">
        <v>1.284081</v>
      </c>
      <c r="E68">
        <v>0.87550300000000003</v>
      </c>
      <c r="F68">
        <v>0.27685900000000002</v>
      </c>
      <c r="G68">
        <v>5</v>
      </c>
      <c r="H68">
        <v>10</v>
      </c>
      <c r="I68">
        <v>12.840811</v>
      </c>
      <c r="J68">
        <v>1.284081</v>
      </c>
      <c r="K68">
        <v>0.87550300000000003</v>
      </c>
      <c r="L68">
        <v>0.27685900000000002</v>
      </c>
      <c r="M68">
        <f t="shared" si="15"/>
        <v>2</v>
      </c>
    </row>
    <row r="69" spans="1:13" x14ac:dyDescent="0.2">
      <c r="A69" t="s">
        <v>18</v>
      </c>
      <c r="B69">
        <v>17</v>
      </c>
      <c r="C69">
        <v>19.536940000000001</v>
      </c>
      <c r="D69">
        <v>1.149232</v>
      </c>
      <c r="E69">
        <v>0.81681499999999996</v>
      </c>
      <c r="F69">
        <v>0.19810700000000001</v>
      </c>
      <c r="G69">
        <v>5</v>
      </c>
      <c r="H69">
        <v>17</v>
      </c>
      <c r="I69">
        <v>19.536940000000001</v>
      </c>
      <c r="J69">
        <v>1.149232</v>
      </c>
      <c r="K69">
        <v>0.81681499999999996</v>
      </c>
      <c r="L69">
        <v>0.19810700000000001</v>
      </c>
      <c r="M69">
        <f t="shared" si="15"/>
        <v>3.4</v>
      </c>
    </row>
    <row r="70" spans="1:13" x14ac:dyDescent="0.2">
      <c r="A70" t="s">
        <v>19</v>
      </c>
      <c r="B70">
        <v>17</v>
      </c>
      <c r="C70">
        <v>19.970219</v>
      </c>
      <c r="D70">
        <v>1.1747190000000001</v>
      </c>
      <c r="E70">
        <v>1.396382</v>
      </c>
      <c r="F70">
        <v>0.33867199999999997</v>
      </c>
      <c r="G70">
        <v>6</v>
      </c>
      <c r="H70">
        <v>18</v>
      </c>
      <c r="I70">
        <v>20.127775</v>
      </c>
      <c r="J70">
        <v>1.1182099999999999</v>
      </c>
      <c r="K70">
        <v>1.3757410000000001</v>
      </c>
      <c r="L70">
        <v>0.32426500000000003</v>
      </c>
      <c r="M70">
        <f t="shared" si="15"/>
        <v>2.8333333333333335</v>
      </c>
    </row>
    <row r="71" spans="1:13" x14ac:dyDescent="0.2">
      <c r="A71" t="s">
        <v>51</v>
      </c>
      <c r="B71">
        <f t="shared" ref="B71:M71" si="16">AVERAGE(B65:B70)</f>
        <v>12.333333333333334</v>
      </c>
      <c r="C71">
        <f t="shared" si="16"/>
        <v>13.254395666666667</v>
      </c>
      <c r="D71">
        <f t="shared" si="16"/>
        <v>1.0476846666666668</v>
      </c>
      <c r="E71">
        <f t="shared" si="16"/>
        <v>0.94694449999999997</v>
      </c>
      <c r="F71">
        <f t="shared" si="16"/>
        <v>0.27933183333333328</v>
      </c>
      <c r="G71">
        <f t="shared" si="16"/>
        <v>5.166666666666667</v>
      </c>
      <c r="H71">
        <f t="shared" si="16"/>
        <v>12.5</v>
      </c>
      <c r="I71">
        <f t="shared" si="16"/>
        <v>13.280655000000001</v>
      </c>
      <c r="J71">
        <f t="shared" si="16"/>
        <v>1.0382665</v>
      </c>
      <c r="K71">
        <f t="shared" si="16"/>
        <v>0.94350433333333328</v>
      </c>
      <c r="L71">
        <f t="shared" si="16"/>
        <v>0.27693066666666666</v>
      </c>
      <c r="M71">
        <f t="shared" si="16"/>
        <v>2.3722222222222222</v>
      </c>
    </row>
    <row r="72" spans="1:13" x14ac:dyDescent="0.2">
      <c r="A72" t="s">
        <v>52</v>
      </c>
      <c r="B72">
        <f>STDEV(B65:B70)</f>
        <v>4.4121045620731465</v>
      </c>
      <c r="C72">
        <f t="shared" ref="C72:M72" si="17">STDEV(C65:C70)</f>
        <v>5.8264162353606235</v>
      </c>
      <c r="D72">
        <f t="shared" si="17"/>
        <v>0.21011589702035025</v>
      </c>
      <c r="E72">
        <f t="shared" si="17"/>
        <v>0.23120556121923161</v>
      </c>
      <c r="F72">
        <f t="shared" si="17"/>
        <v>7.0197410637192995E-2</v>
      </c>
      <c r="G72">
        <f t="shared" si="17"/>
        <v>0.40824829046386302</v>
      </c>
      <c r="H72">
        <f t="shared" si="17"/>
        <v>4.636809247747852</v>
      </c>
      <c r="I72">
        <f t="shared" si="17"/>
        <v>5.8629779777549214</v>
      </c>
      <c r="J72">
        <f t="shared" si="17"/>
        <v>0.2044736366965183</v>
      </c>
      <c r="K72">
        <f t="shared" si="17"/>
        <v>0.22319561878286698</v>
      </c>
      <c r="L72">
        <f t="shared" si="17"/>
        <v>6.7972822185537379E-2</v>
      </c>
      <c r="M72">
        <f t="shared" si="17"/>
        <v>0.78780050116106726</v>
      </c>
    </row>
    <row r="74" spans="1:13" x14ac:dyDescent="0.2">
      <c r="A74" s="1" t="s">
        <v>78</v>
      </c>
      <c r="B74" t="s">
        <v>0</v>
      </c>
      <c r="C74" t="s">
        <v>1</v>
      </c>
      <c r="D74" t="s">
        <v>2</v>
      </c>
      <c r="E74" t="s">
        <v>3</v>
      </c>
      <c r="F74" t="s">
        <v>4</v>
      </c>
      <c r="G74" t="s">
        <v>5</v>
      </c>
      <c r="H74" t="s">
        <v>6</v>
      </c>
      <c r="I74" t="s">
        <v>7</v>
      </c>
      <c r="J74" t="s">
        <v>8</v>
      </c>
      <c r="K74" t="s">
        <v>9</v>
      </c>
      <c r="L74" t="s">
        <v>10</v>
      </c>
      <c r="M74" t="s">
        <v>53</v>
      </c>
    </row>
    <row r="75" spans="1:13" x14ac:dyDescent="0.2">
      <c r="A75" t="s">
        <v>20</v>
      </c>
      <c r="B75">
        <v>20</v>
      </c>
      <c r="C75">
        <v>21.624555999999998</v>
      </c>
      <c r="D75">
        <v>1.0812280000000001</v>
      </c>
      <c r="E75">
        <v>0.71399100000000004</v>
      </c>
      <c r="F75">
        <v>0.15965299999999999</v>
      </c>
      <c r="G75">
        <v>9</v>
      </c>
      <c r="H75">
        <v>20</v>
      </c>
      <c r="I75">
        <v>21.624555999999998</v>
      </c>
      <c r="J75">
        <v>1.0812280000000001</v>
      </c>
      <c r="K75">
        <v>0.71399100000000004</v>
      </c>
      <c r="L75">
        <v>0.15965299999999999</v>
      </c>
      <c r="M75">
        <f>B75/G75</f>
        <v>2.2222222222222223</v>
      </c>
    </row>
    <row r="76" spans="1:13" x14ac:dyDescent="0.2">
      <c r="A76" t="s">
        <v>77</v>
      </c>
      <c r="B76">
        <v>32</v>
      </c>
      <c r="C76">
        <v>32.692863000000003</v>
      </c>
      <c r="D76">
        <v>1.021652</v>
      </c>
      <c r="E76">
        <v>1.1034330000000001</v>
      </c>
      <c r="F76">
        <v>0.19506100000000001</v>
      </c>
      <c r="G76">
        <v>12</v>
      </c>
      <c r="H76">
        <v>32</v>
      </c>
      <c r="I76">
        <v>32.692863000000003</v>
      </c>
      <c r="J76">
        <v>1.021652</v>
      </c>
      <c r="K76">
        <v>1.1034330000000001</v>
      </c>
      <c r="L76">
        <v>0.19506100000000001</v>
      </c>
      <c r="M76">
        <f>B76/G76</f>
        <v>2.6666666666666665</v>
      </c>
    </row>
    <row r="77" spans="1:13" x14ac:dyDescent="0.2">
      <c r="A77" t="s">
        <v>40</v>
      </c>
      <c r="B77">
        <v>24</v>
      </c>
      <c r="C77">
        <v>45.573062999999998</v>
      </c>
      <c r="D77">
        <v>1.8988780000000001</v>
      </c>
      <c r="E77">
        <v>1.144787</v>
      </c>
      <c r="F77">
        <v>0.233679</v>
      </c>
      <c r="G77">
        <v>8</v>
      </c>
      <c r="H77">
        <v>25</v>
      </c>
      <c r="I77">
        <v>47.069845000000001</v>
      </c>
      <c r="J77">
        <v>1.8827940000000001</v>
      </c>
      <c r="K77">
        <v>1.1235649999999999</v>
      </c>
      <c r="L77">
        <v>0.224713</v>
      </c>
      <c r="M77">
        <f>B77/G77</f>
        <v>3</v>
      </c>
    </row>
    <row r="78" spans="1:13" x14ac:dyDescent="0.2">
      <c r="A78" t="s">
        <v>41</v>
      </c>
      <c r="B78">
        <v>16</v>
      </c>
      <c r="C78">
        <v>15.007206</v>
      </c>
      <c r="D78">
        <v>0.93794999999999995</v>
      </c>
      <c r="E78">
        <v>0.667713</v>
      </c>
      <c r="F78">
        <v>0.16692799999999999</v>
      </c>
      <c r="G78">
        <v>7</v>
      </c>
      <c r="H78">
        <v>16</v>
      </c>
      <c r="I78">
        <v>15.007206</v>
      </c>
      <c r="J78">
        <v>0.93794999999999995</v>
      </c>
      <c r="K78">
        <v>0.667713</v>
      </c>
      <c r="L78">
        <v>0.16692799999999999</v>
      </c>
      <c r="M78">
        <f>B78/G78</f>
        <v>2.2857142857142856</v>
      </c>
    </row>
    <row r="79" spans="1:13" x14ac:dyDescent="0.2">
      <c r="A79" t="s">
        <v>42</v>
      </c>
      <c r="B79">
        <v>13</v>
      </c>
      <c r="C79">
        <v>13.510424</v>
      </c>
      <c r="D79">
        <v>1.039263</v>
      </c>
      <c r="E79">
        <v>0.801373</v>
      </c>
      <c r="F79">
        <v>0.22226099999999999</v>
      </c>
      <c r="G79">
        <v>7</v>
      </c>
      <c r="H79">
        <v>13</v>
      </c>
      <c r="I79">
        <v>13.510424</v>
      </c>
      <c r="J79">
        <v>1.039263</v>
      </c>
      <c r="K79">
        <v>0.801373</v>
      </c>
      <c r="L79">
        <v>0.22226099999999999</v>
      </c>
      <c r="M79">
        <f>B79/G79</f>
        <v>1.8571428571428572</v>
      </c>
    </row>
    <row r="80" spans="1:13" x14ac:dyDescent="0.2">
      <c r="A80" t="s">
        <v>51</v>
      </c>
      <c r="B80">
        <f t="shared" ref="B80:M80" si="18">AVERAGE(B74:B79)</f>
        <v>21</v>
      </c>
      <c r="C80">
        <f t="shared" si="18"/>
        <v>25.681622399999998</v>
      </c>
      <c r="D80">
        <f t="shared" si="18"/>
        <v>1.1957941999999999</v>
      </c>
      <c r="E80">
        <f t="shared" si="18"/>
        <v>0.88625939999999992</v>
      </c>
      <c r="F80">
        <f t="shared" si="18"/>
        <v>0.19551639999999998</v>
      </c>
      <c r="G80">
        <f t="shared" si="18"/>
        <v>8.6</v>
      </c>
      <c r="H80">
        <f t="shared" si="18"/>
        <v>21.2</v>
      </c>
      <c r="I80">
        <f t="shared" si="18"/>
        <v>25.980978800000003</v>
      </c>
      <c r="J80">
        <f t="shared" si="18"/>
        <v>1.1925774</v>
      </c>
      <c r="K80">
        <f t="shared" si="18"/>
        <v>0.88201499999999999</v>
      </c>
      <c r="L80">
        <f t="shared" si="18"/>
        <v>0.19372319999999998</v>
      </c>
      <c r="M80">
        <f t="shared" si="18"/>
        <v>2.4063492063492062</v>
      </c>
    </row>
    <row r="81" spans="1:13" x14ac:dyDescent="0.2">
      <c r="A81" t="s">
        <v>52</v>
      </c>
      <c r="B81">
        <f>STDEV(B74:B79)</f>
        <v>7.416198487095663</v>
      </c>
      <c r="C81">
        <f t="shared" ref="C81:M81" si="19">STDEV(C74:C79)</f>
        <v>13.447750068702739</v>
      </c>
      <c r="D81">
        <f t="shared" si="19"/>
        <v>0.3964730122822992</v>
      </c>
      <c r="E81">
        <f t="shared" si="19"/>
        <v>0.22284833631598025</v>
      </c>
      <c r="F81">
        <f t="shared" si="19"/>
        <v>3.2693061692047276E-2</v>
      </c>
      <c r="G81">
        <f t="shared" si="19"/>
        <v>2.0736441353327715</v>
      </c>
      <c r="H81">
        <f t="shared" si="19"/>
        <v>7.5299402388066827</v>
      </c>
      <c r="I81">
        <f t="shared" si="19"/>
        <v>14.006306733163953</v>
      </c>
      <c r="J81">
        <f t="shared" si="19"/>
        <v>0.38934353540260552</v>
      </c>
      <c r="K81">
        <f t="shared" si="19"/>
        <v>0.21681378944153909</v>
      </c>
      <c r="L81">
        <f t="shared" si="19"/>
        <v>3.022964072231106E-2</v>
      </c>
      <c r="M81">
        <f t="shared" si="19"/>
        <v>0.43882501903298698</v>
      </c>
    </row>
    <row r="83" spans="1:13" x14ac:dyDescent="0.2">
      <c r="A83" s="1" t="s">
        <v>79</v>
      </c>
      <c r="B83" t="s">
        <v>0</v>
      </c>
      <c r="C83" t="s">
        <v>1</v>
      </c>
      <c r="D83" t="s">
        <v>2</v>
      </c>
      <c r="E83" t="s">
        <v>3</v>
      </c>
      <c r="F83" t="s">
        <v>4</v>
      </c>
      <c r="G83" t="s">
        <v>5</v>
      </c>
      <c r="H83" t="s">
        <v>6</v>
      </c>
      <c r="I83" t="s">
        <v>7</v>
      </c>
      <c r="J83" t="s">
        <v>8</v>
      </c>
      <c r="K83" t="s">
        <v>9</v>
      </c>
      <c r="L83" t="s">
        <v>10</v>
      </c>
      <c r="M83" t="s">
        <v>53</v>
      </c>
    </row>
    <row r="84" spans="1:13" x14ac:dyDescent="0.2">
      <c r="A84" t="s">
        <v>31</v>
      </c>
      <c r="B84">
        <v>15</v>
      </c>
      <c r="C84">
        <v>8.0747429999999998</v>
      </c>
      <c r="D84">
        <v>0.53831600000000002</v>
      </c>
      <c r="E84">
        <v>0.43903799999999998</v>
      </c>
      <c r="F84">
        <v>0.113359</v>
      </c>
      <c r="G84">
        <v>13</v>
      </c>
      <c r="H84">
        <v>15</v>
      </c>
      <c r="I84">
        <v>8.0747429999999998</v>
      </c>
      <c r="J84">
        <v>0.53831600000000002</v>
      </c>
      <c r="K84">
        <v>0.43903799999999998</v>
      </c>
      <c r="L84">
        <v>0.113359</v>
      </c>
      <c r="M84">
        <f>B84/G84</f>
        <v>1.1538461538461537</v>
      </c>
    </row>
    <row r="85" spans="1:13" x14ac:dyDescent="0.2">
      <c r="A85" t="s">
        <v>32</v>
      </c>
      <c r="B85">
        <v>6</v>
      </c>
      <c r="C85">
        <v>7.7990199999999996</v>
      </c>
      <c r="D85">
        <v>1.2998369999999999</v>
      </c>
      <c r="E85">
        <v>0.77667299999999995</v>
      </c>
      <c r="F85">
        <v>0.317075</v>
      </c>
      <c r="G85">
        <v>9</v>
      </c>
      <c r="H85">
        <v>6</v>
      </c>
      <c r="I85">
        <v>7.7990199999999996</v>
      </c>
      <c r="J85">
        <v>1.2998369999999999</v>
      </c>
      <c r="K85">
        <v>0.77667299999999995</v>
      </c>
      <c r="L85">
        <v>0.317075</v>
      </c>
      <c r="M85">
        <f>B85/G85</f>
        <v>0.66666666666666663</v>
      </c>
    </row>
    <row r="86" spans="1:13" x14ac:dyDescent="0.2">
      <c r="A86" t="s">
        <v>33</v>
      </c>
      <c r="B86">
        <v>8</v>
      </c>
      <c r="C86">
        <v>8.2716879999999993</v>
      </c>
      <c r="D86">
        <v>1.0339609999999999</v>
      </c>
      <c r="E86">
        <v>0.68377900000000003</v>
      </c>
      <c r="F86">
        <v>0.24175199999999999</v>
      </c>
      <c r="G86">
        <v>9</v>
      </c>
      <c r="H86">
        <v>8</v>
      </c>
      <c r="I86">
        <v>8.2716879999999993</v>
      </c>
      <c r="J86">
        <v>1.0339609999999999</v>
      </c>
      <c r="K86">
        <v>0.68377900000000003</v>
      </c>
      <c r="L86">
        <v>0.24175199999999999</v>
      </c>
      <c r="M86">
        <f>B86/G86</f>
        <v>0.88888888888888884</v>
      </c>
    </row>
    <row r="87" spans="1:13" x14ac:dyDescent="0.2">
      <c r="A87" t="s">
        <v>15</v>
      </c>
      <c r="B87">
        <v>7</v>
      </c>
      <c r="C87">
        <v>5.2387360000000003</v>
      </c>
      <c r="D87">
        <v>0.74839100000000003</v>
      </c>
      <c r="E87">
        <v>0.36880099999999999</v>
      </c>
      <c r="F87">
        <v>0.13939399999999999</v>
      </c>
      <c r="G87">
        <v>9</v>
      </c>
      <c r="H87">
        <v>7</v>
      </c>
      <c r="I87">
        <v>5.2387360000000003</v>
      </c>
      <c r="J87">
        <v>0.74839100000000003</v>
      </c>
      <c r="K87">
        <v>0.36880099999999999</v>
      </c>
      <c r="L87">
        <v>0.13939399999999999</v>
      </c>
      <c r="M87">
        <f>B87/G87</f>
        <v>0.77777777777777779</v>
      </c>
    </row>
    <row r="88" spans="1:13" x14ac:dyDescent="0.2">
      <c r="A88" t="s">
        <v>16</v>
      </c>
      <c r="B88">
        <v>11</v>
      </c>
      <c r="C88">
        <v>11.69853</v>
      </c>
      <c r="D88">
        <v>1.0635030000000001</v>
      </c>
      <c r="E88">
        <v>0.70174300000000001</v>
      </c>
      <c r="F88">
        <v>0.21158399999999999</v>
      </c>
      <c r="G88">
        <v>17</v>
      </c>
      <c r="H88">
        <v>11</v>
      </c>
      <c r="I88">
        <v>11.69853</v>
      </c>
      <c r="J88">
        <v>1.0635030000000001</v>
      </c>
      <c r="K88">
        <v>0.70174300000000001</v>
      </c>
      <c r="L88">
        <v>0.21158399999999999</v>
      </c>
      <c r="M88">
        <f>B88/G88</f>
        <v>0.6470588235294118</v>
      </c>
    </row>
    <row r="89" spans="1:13" x14ac:dyDescent="0.2">
      <c r="A89" t="s">
        <v>51</v>
      </c>
      <c r="B89">
        <f t="shared" ref="B89:M89" si="20">AVERAGE(B83:B88)</f>
        <v>9.4</v>
      </c>
      <c r="C89">
        <f t="shared" si="20"/>
        <v>8.2165434000000008</v>
      </c>
      <c r="D89">
        <f t="shared" si="20"/>
        <v>0.9368015999999999</v>
      </c>
      <c r="E89">
        <f t="shared" si="20"/>
        <v>0.59400680000000006</v>
      </c>
      <c r="F89">
        <f t="shared" si="20"/>
        <v>0.2046328</v>
      </c>
      <c r="G89">
        <f t="shared" si="20"/>
        <v>11.4</v>
      </c>
      <c r="H89">
        <f t="shared" si="20"/>
        <v>9.4</v>
      </c>
      <c r="I89">
        <f t="shared" si="20"/>
        <v>8.2165434000000008</v>
      </c>
      <c r="J89">
        <f t="shared" si="20"/>
        <v>0.9368015999999999</v>
      </c>
      <c r="K89">
        <f t="shared" si="20"/>
        <v>0.59400680000000006</v>
      </c>
      <c r="L89">
        <f t="shared" si="20"/>
        <v>0.2046328</v>
      </c>
      <c r="M89">
        <f t="shared" si="20"/>
        <v>0.82684766214177974</v>
      </c>
    </row>
    <row r="90" spans="1:13" x14ac:dyDescent="0.2">
      <c r="A90" t="s">
        <v>52</v>
      </c>
      <c r="B90">
        <f>STDEV(B83:B88)</f>
        <v>3.6469165057620936</v>
      </c>
      <c r="C90">
        <f t="shared" ref="C90:M90" si="21">STDEV(C83:C88)</f>
        <v>2.3015778101104458</v>
      </c>
      <c r="D90">
        <f t="shared" si="21"/>
        <v>0.29646973834744106</v>
      </c>
      <c r="E90">
        <f t="shared" si="21"/>
        <v>0.17872189193884463</v>
      </c>
      <c r="F90">
        <f t="shared" si="21"/>
        <v>8.1633954520775251E-2</v>
      </c>
      <c r="G90">
        <f t="shared" si="21"/>
        <v>3.5777087639996652</v>
      </c>
      <c r="H90">
        <f t="shared" si="21"/>
        <v>3.6469165057620936</v>
      </c>
      <c r="I90">
        <f t="shared" si="21"/>
        <v>2.3015778101104458</v>
      </c>
      <c r="J90">
        <f t="shared" si="21"/>
        <v>0.29646973834744106</v>
      </c>
      <c r="K90">
        <f t="shared" si="21"/>
        <v>0.17872189193884463</v>
      </c>
      <c r="L90">
        <f t="shared" si="21"/>
        <v>8.1633954520775251E-2</v>
      </c>
      <c r="M90">
        <f t="shared" si="21"/>
        <v>0.20686164382607367</v>
      </c>
    </row>
    <row r="92" spans="1:13" x14ac:dyDescent="0.2">
      <c r="A92" s="1" t="s">
        <v>82</v>
      </c>
      <c r="B92" t="s">
        <v>0</v>
      </c>
      <c r="C92" t="s">
        <v>1</v>
      </c>
      <c r="D92" t="s">
        <v>2</v>
      </c>
      <c r="E92" t="s">
        <v>3</v>
      </c>
      <c r="F92" t="s">
        <v>4</v>
      </c>
      <c r="G92" t="s">
        <v>5</v>
      </c>
      <c r="H92" t="s">
        <v>6</v>
      </c>
      <c r="I92" t="s">
        <v>7</v>
      </c>
      <c r="J92" t="s">
        <v>8</v>
      </c>
      <c r="K92" t="s">
        <v>9</v>
      </c>
      <c r="L92" t="s">
        <v>10</v>
      </c>
      <c r="M92" t="s">
        <v>53</v>
      </c>
    </row>
    <row r="93" spans="1:13" x14ac:dyDescent="0.2">
      <c r="A93" t="s">
        <v>17</v>
      </c>
      <c r="B93">
        <v>1</v>
      </c>
      <c r="C93">
        <v>2.2845610000000001</v>
      </c>
      <c r="D93">
        <v>2.2845610000000001</v>
      </c>
      <c r="E93">
        <v>0</v>
      </c>
      <c r="F93">
        <v>0</v>
      </c>
      <c r="G93">
        <v>8</v>
      </c>
      <c r="H93">
        <v>1</v>
      </c>
      <c r="I93">
        <v>2.2845610000000001</v>
      </c>
      <c r="J93">
        <v>2.2845610000000001</v>
      </c>
      <c r="K93">
        <v>0</v>
      </c>
      <c r="L93">
        <v>0</v>
      </c>
      <c r="M93">
        <f>B93/G93</f>
        <v>0.125</v>
      </c>
    </row>
    <row r="94" spans="1:13" x14ac:dyDescent="0.2">
      <c r="A94" t="s">
        <v>68</v>
      </c>
      <c r="B94">
        <v>2</v>
      </c>
      <c r="C94">
        <v>1.851283</v>
      </c>
      <c r="D94">
        <v>0.92564100000000005</v>
      </c>
      <c r="E94">
        <v>0.97482800000000003</v>
      </c>
      <c r="F94">
        <v>0.689307</v>
      </c>
      <c r="G94">
        <v>7</v>
      </c>
      <c r="H94">
        <v>2</v>
      </c>
      <c r="I94">
        <v>1.851283</v>
      </c>
      <c r="J94">
        <v>0.92564100000000005</v>
      </c>
      <c r="K94">
        <v>0.97482800000000003</v>
      </c>
      <c r="L94">
        <v>0.689307</v>
      </c>
      <c r="M94">
        <f>B94/G94</f>
        <v>0.2857142857142857</v>
      </c>
    </row>
    <row r="95" spans="1:13" x14ac:dyDescent="0.2">
      <c r="A95" t="s">
        <v>69</v>
      </c>
      <c r="B95">
        <v>4</v>
      </c>
      <c r="C95">
        <v>4.4509559999999997</v>
      </c>
      <c r="D95">
        <v>1.1127389999999999</v>
      </c>
      <c r="E95">
        <v>0.82709100000000002</v>
      </c>
      <c r="F95">
        <v>0.413545</v>
      </c>
      <c r="G95">
        <v>5</v>
      </c>
      <c r="H95">
        <v>4</v>
      </c>
      <c r="I95">
        <v>4.4509559999999997</v>
      </c>
      <c r="J95">
        <v>1.1127389999999999</v>
      </c>
      <c r="K95">
        <v>0.82709100000000002</v>
      </c>
      <c r="L95">
        <v>0.413545</v>
      </c>
      <c r="M95">
        <f>B95/G95</f>
        <v>0.8</v>
      </c>
    </row>
    <row r="96" spans="1:13" x14ac:dyDescent="0.2">
      <c r="A96" t="s">
        <v>80</v>
      </c>
      <c r="B96">
        <v>3</v>
      </c>
      <c r="C96">
        <v>2.2845610000000001</v>
      </c>
      <c r="D96">
        <v>0.76151999999999997</v>
      </c>
      <c r="E96">
        <v>0.25323600000000002</v>
      </c>
      <c r="F96">
        <v>0.146206</v>
      </c>
      <c r="G96">
        <v>5</v>
      </c>
      <c r="H96">
        <v>3</v>
      </c>
      <c r="I96">
        <v>2.2845610000000001</v>
      </c>
      <c r="J96">
        <v>0.76151999999999997</v>
      </c>
      <c r="K96">
        <v>0.25323600000000002</v>
      </c>
      <c r="L96">
        <v>0.146206</v>
      </c>
      <c r="M96">
        <f>B96/G96</f>
        <v>0.6</v>
      </c>
    </row>
    <row r="97" spans="1:13" x14ac:dyDescent="0.2">
      <c r="A97" t="s">
        <v>81</v>
      </c>
      <c r="B97">
        <v>5</v>
      </c>
      <c r="C97">
        <v>3.8995099999999998</v>
      </c>
      <c r="D97">
        <v>0.77990199999999998</v>
      </c>
      <c r="E97">
        <v>0.22695699999999999</v>
      </c>
      <c r="F97">
        <v>0.101498</v>
      </c>
      <c r="G97">
        <v>11</v>
      </c>
      <c r="H97">
        <v>5</v>
      </c>
      <c r="I97">
        <v>3.8995099999999998</v>
      </c>
      <c r="J97">
        <v>0.77990199999999998</v>
      </c>
      <c r="K97">
        <v>0.22695699999999999</v>
      </c>
      <c r="L97">
        <v>0.101498</v>
      </c>
      <c r="M97">
        <f>B97/G97</f>
        <v>0.45454545454545453</v>
      </c>
    </row>
    <row r="98" spans="1:13" x14ac:dyDescent="0.2">
      <c r="A98" t="s">
        <v>51</v>
      </c>
      <c r="B98">
        <f t="shared" ref="B98:M98" si="22">AVERAGE(B92:B97)</f>
        <v>3</v>
      </c>
      <c r="C98">
        <f t="shared" si="22"/>
        <v>2.9541741999999998</v>
      </c>
      <c r="D98">
        <f t="shared" si="22"/>
        <v>1.1728726</v>
      </c>
      <c r="E98">
        <f t="shared" si="22"/>
        <v>0.45642240000000001</v>
      </c>
      <c r="F98">
        <f t="shared" si="22"/>
        <v>0.2701112</v>
      </c>
      <c r="G98">
        <f t="shared" si="22"/>
        <v>7.2</v>
      </c>
      <c r="H98">
        <f t="shared" si="22"/>
        <v>3</v>
      </c>
      <c r="I98">
        <f t="shared" si="22"/>
        <v>2.9541741999999998</v>
      </c>
      <c r="J98">
        <f t="shared" si="22"/>
        <v>1.1728726</v>
      </c>
      <c r="K98">
        <f t="shared" si="22"/>
        <v>0.45642240000000001</v>
      </c>
      <c r="L98">
        <f t="shared" si="22"/>
        <v>0.2701112</v>
      </c>
      <c r="M98">
        <f t="shared" si="22"/>
        <v>0.45305194805194809</v>
      </c>
    </row>
    <row r="99" spans="1:13" x14ac:dyDescent="0.2">
      <c r="A99" t="s">
        <v>52</v>
      </c>
      <c r="B99">
        <f>STDEV(B92:B97)</f>
        <v>1.5811388300841898</v>
      </c>
      <c r="C99">
        <f t="shared" ref="C99:M99" si="23">STDEV(C92:C97)</f>
        <v>1.1453327252199246</v>
      </c>
      <c r="D99">
        <f t="shared" si="23"/>
        <v>0.63722591491817104</v>
      </c>
      <c r="E99">
        <f t="shared" si="23"/>
        <v>0.42083252824051037</v>
      </c>
      <c r="F99">
        <f t="shared" si="23"/>
        <v>0.27975048877830405</v>
      </c>
      <c r="G99">
        <f t="shared" si="23"/>
        <v>2.4899799195977472</v>
      </c>
      <c r="H99">
        <f t="shared" si="23"/>
        <v>1.5811388300841898</v>
      </c>
      <c r="I99">
        <f t="shared" si="23"/>
        <v>1.1453327252199246</v>
      </c>
      <c r="J99">
        <f t="shared" si="23"/>
        <v>0.63722591491817104</v>
      </c>
      <c r="K99">
        <f t="shared" si="23"/>
        <v>0.42083252824051037</v>
      </c>
      <c r="L99">
        <f t="shared" si="23"/>
        <v>0.27975048877830405</v>
      </c>
      <c r="M99">
        <f t="shared" si="23"/>
        <v>0.26343352346504467</v>
      </c>
    </row>
    <row r="101" spans="1:13" x14ac:dyDescent="0.2">
      <c r="A101" s="1" t="s">
        <v>94</v>
      </c>
      <c r="B101" t="s">
        <v>0</v>
      </c>
      <c r="C101" t="s">
        <v>1</v>
      </c>
      <c r="D101" t="s">
        <v>2</v>
      </c>
      <c r="E101" t="s">
        <v>3</v>
      </c>
      <c r="F101" t="s">
        <v>4</v>
      </c>
      <c r="G101" t="s">
        <v>5</v>
      </c>
      <c r="H101" t="s">
        <v>6</v>
      </c>
      <c r="I101" t="s">
        <v>7</v>
      </c>
      <c r="J101" t="s">
        <v>8</v>
      </c>
      <c r="K101" t="s">
        <v>9</v>
      </c>
      <c r="L101" t="s">
        <v>10</v>
      </c>
      <c r="M101" t="s">
        <v>53</v>
      </c>
    </row>
    <row r="102" spans="1:13" x14ac:dyDescent="0.2">
      <c r="A102" t="s">
        <v>37</v>
      </c>
      <c r="B102">
        <v>17</v>
      </c>
      <c r="C102">
        <v>17.646267999999999</v>
      </c>
      <c r="D102">
        <v>1.038016</v>
      </c>
      <c r="E102">
        <v>0.59148100000000003</v>
      </c>
      <c r="F102">
        <v>0.143455</v>
      </c>
      <c r="G102">
        <v>7</v>
      </c>
      <c r="H102">
        <v>17</v>
      </c>
      <c r="I102">
        <v>17.646267999999999</v>
      </c>
      <c r="J102">
        <v>1.038016</v>
      </c>
      <c r="K102">
        <v>0.59148100000000003</v>
      </c>
      <c r="L102">
        <v>0.143455</v>
      </c>
      <c r="M102">
        <f>B102/G102</f>
        <v>2.4285714285714284</v>
      </c>
    </row>
    <row r="103" spans="1:13" x14ac:dyDescent="0.2">
      <c r="A103" t="s">
        <v>38</v>
      </c>
      <c r="B103">
        <v>18</v>
      </c>
      <c r="C103">
        <v>23.475839000000001</v>
      </c>
      <c r="D103">
        <v>1.3042130000000001</v>
      </c>
      <c r="E103">
        <v>1.0731889999999999</v>
      </c>
      <c r="F103">
        <v>0.25295299999999998</v>
      </c>
      <c r="G103">
        <v>5</v>
      </c>
      <c r="H103">
        <v>20</v>
      </c>
      <c r="I103">
        <v>25.130175999999999</v>
      </c>
      <c r="J103">
        <v>1.2565090000000001</v>
      </c>
      <c r="K103">
        <v>1.026972</v>
      </c>
      <c r="L103">
        <v>0.22963800000000001</v>
      </c>
      <c r="M103">
        <f>B103/G103</f>
        <v>3.6</v>
      </c>
    </row>
    <row r="104" spans="1:13" x14ac:dyDescent="0.2">
      <c r="A104" t="s">
        <v>39</v>
      </c>
      <c r="B104">
        <v>29</v>
      </c>
      <c r="C104">
        <v>40.058604000000003</v>
      </c>
      <c r="D104">
        <v>1.3813310000000001</v>
      </c>
      <c r="E104">
        <v>1.2558640000000001</v>
      </c>
      <c r="F104">
        <v>0.233208</v>
      </c>
      <c r="G104">
        <v>6</v>
      </c>
      <c r="H104">
        <v>34</v>
      </c>
      <c r="I104">
        <v>41.988664999999997</v>
      </c>
      <c r="J104">
        <v>1.234961</v>
      </c>
      <c r="K104">
        <v>1.2142390000000001</v>
      </c>
      <c r="L104">
        <v>0.20824000000000001</v>
      </c>
      <c r="M104">
        <f>B104/G104</f>
        <v>4.833333333333333</v>
      </c>
    </row>
    <row r="105" spans="1:13" x14ac:dyDescent="0.2">
      <c r="A105" t="s">
        <v>28</v>
      </c>
      <c r="B105">
        <v>23</v>
      </c>
      <c r="C105">
        <v>26.075512</v>
      </c>
      <c r="D105">
        <v>1.133718</v>
      </c>
      <c r="E105">
        <v>1.135839</v>
      </c>
      <c r="F105">
        <v>0.23683899999999999</v>
      </c>
      <c r="G105">
        <v>6</v>
      </c>
      <c r="H105">
        <v>23</v>
      </c>
      <c r="I105">
        <v>26.075512</v>
      </c>
      <c r="J105">
        <v>1.133718</v>
      </c>
      <c r="K105">
        <v>1.135839</v>
      </c>
      <c r="L105">
        <v>0.23683899999999999</v>
      </c>
      <c r="M105">
        <f>B105/G105</f>
        <v>3.8333333333333335</v>
      </c>
    </row>
    <row r="106" spans="1:13" x14ac:dyDescent="0.2">
      <c r="A106" t="s">
        <v>29</v>
      </c>
      <c r="B106">
        <v>18</v>
      </c>
      <c r="C106">
        <v>19.93083</v>
      </c>
      <c r="D106">
        <v>1.1072679999999999</v>
      </c>
      <c r="E106">
        <v>1.0588919999999999</v>
      </c>
      <c r="F106">
        <v>0.249583</v>
      </c>
      <c r="G106">
        <v>3</v>
      </c>
      <c r="H106">
        <v>18</v>
      </c>
      <c r="I106">
        <v>19.93083</v>
      </c>
      <c r="J106">
        <v>1.1072679999999999</v>
      </c>
      <c r="K106">
        <v>1.0588919999999999</v>
      </c>
      <c r="L106">
        <v>0.249583</v>
      </c>
    </row>
    <row r="107" spans="1:13" x14ac:dyDescent="0.2">
      <c r="A107" t="s">
        <v>30</v>
      </c>
      <c r="B107">
        <v>18</v>
      </c>
      <c r="C107">
        <v>16.582764999999998</v>
      </c>
      <c r="D107">
        <v>0.921265</v>
      </c>
      <c r="E107">
        <v>0.67201299999999997</v>
      </c>
      <c r="F107">
        <v>0.15839500000000001</v>
      </c>
      <c r="G107">
        <v>8</v>
      </c>
      <c r="H107">
        <v>18</v>
      </c>
      <c r="I107">
        <v>16.582764999999998</v>
      </c>
      <c r="J107">
        <v>0.921265</v>
      </c>
      <c r="K107">
        <v>0.67201299999999997</v>
      </c>
      <c r="L107">
        <v>0.15839500000000001</v>
      </c>
      <c r="M107">
        <f>B107/G107</f>
        <v>2.25</v>
      </c>
    </row>
    <row r="108" spans="1:13" x14ac:dyDescent="0.2">
      <c r="A108" t="s">
        <v>51</v>
      </c>
      <c r="B108">
        <f>AVERAGE(B102:B107)</f>
        <v>20.5</v>
      </c>
      <c r="C108">
        <f t="shared" ref="C108:M108" si="24">AVERAGE(C102:C107)</f>
        <v>23.961636333333335</v>
      </c>
      <c r="D108">
        <f t="shared" si="24"/>
        <v>1.1476351666666667</v>
      </c>
      <c r="E108">
        <f t="shared" si="24"/>
        <v>0.96454633333333328</v>
      </c>
      <c r="F108">
        <f t="shared" si="24"/>
        <v>0.21240550000000002</v>
      </c>
      <c r="G108">
        <f t="shared" si="24"/>
        <v>5.833333333333333</v>
      </c>
      <c r="H108">
        <f t="shared" si="24"/>
        <v>21.666666666666668</v>
      </c>
      <c r="I108">
        <f t="shared" si="24"/>
        <v>24.559036000000003</v>
      </c>
      <c r="J108">
        <f t="shared" si="24"/>
        <v>1.1152895</v>
      </c>
      <c r="K108">
        <f t="shared" si="24"/>
        <v>0.94990600000000003</v>
      </c>
      <c r="L108">
        <f t="shared" si="24"/>
        <v>0.20435833333333334</v>
      </c>
      <c r="M108">
        <f t="shared" si="24"/>
        <v>3.3890476190476191</v>
      </c>
    </row>
    <row r="109" spans="1:13" x14ac:dyDescent="0.2">
      <c r="A109" t="s">
        <v>52</v>
      </c>
      <c r="B109">
        <f>STDEV(B102:B107)</f>
        <v>4.6797435827190359</v>
      </c>
      <c r="C109">
        <f t="shared" ref="C109:M109" si="25">STDEV(C102:C107)</f>
        <v>8.6532751774262771</v>
      </c>
      <c r="D109">
        <f t="shared" si="25"/>
        <v>0.1698313105047671</v>
      </c>
      <c r="E109">
        <f t="shared" si="25"/>
        <v>0.26820327680747474</v>
      </c>
      <c r="F109">
        <f t="shared" si="25"/>
        <v>4.8429973676432939E-2</v>
      </c>
      <c r="G109">
        <f t="shared" si="25"/>
        <v>1.7224014243685091</v>
      </c>
      <c r="H109">
        <f t="shared" si="25"/>
        <v>6.4083279150388908</v>
      </c>
      <c r="I109">
        <f t="shared" si="25"/>
        <v>9.3727842042961527</v>
      </c>
      <c r="J109">
        <f t="shared" si="25"/>
        <v>0.12512783029326446</v>
      </c>
      <c r="K109">
        <f t="shared" si="25"/>
        <v>0.25610666996546561</v>
      </c>
      <c r="L109">
        <f t="shared" si="25"/>
        <v>4.3763539818742613E-2</v>
      </c>
      <c r="M109">
        <f t="shared" si="25"/>
        <v>1.0662780967420422</v>
      </c>
    </row>
    <row r="111" spans="1:13" x14ac:dyDescent="0.2">
      <c r="A111" t="s">
        <v>96</v>
      </c>
      <c r="B111" t="s">
        <v>0</v>
      </c>
      <c r="C111" t="s">
        <v>1</v>
      </c>
      <c r="D111" t="s">
        <v>2</v>
      </c>
      <c r="E111" t="s">
        <v>3</v>
      </c>
      <c r="F111" t="s">
        <v>4</v>
      </c>
      <c r="G111" t="s">
        <v>5</v>
      </c>
      <c r="H111" t="s">
        <v>6</v>
      </c>
      <c r="I111" t="s">
        <v>7</v>
      </c>
      <c r="J111" t="s">
        <v>8</v>
      </c>
      <c r="K111" t="s">
        <v>9</v>
      </c>
      <c r="L111" t="s">
        <v>10</v>
      </c>
      <c r="M111" t="s">
        <v>53</v>
      </c>
    </row>
    <row r="112" spans="1:13" x14ac:dyDescent="0.2">
      <c r="A112" t="s">
        <v>50</v>
      </c>
      <c r="B112">
        <v>6</v>
      </c>
      <c r="C112">
        <v>7.4839079999999996</v>
      </c>
      <c r="D112">
        <v>1.2473179999999999</v>
      </c>
      <c r="E112">
        <v>0.59926500000000005</v>
      </c>
      <c r="F112">
        <v>0.24464900000000001</v>
      </c>
      <c r="G112">
        <v>3</v>
      </c>
      <c r="H112">
        <v>7</v>
      </c>
      <c r="I112">
        <v>7.995965</v>
      </c>
      <c r="J112">
        <v>1.1422810000000001</v>
      </c>
      <c r="K112">
        <v>0.61359200000000003</v>
      </c>
      <c r="L112">
        <v>0.23191600000000001</v>
      </c>
      <c r="M112">
        <f t="shared" ref="M112:M117" si="26">B112/G112</f>
        <v>2</v>
      </c>
    </row>
    <row r="113" spans="1:13" x14ac:dyDescent="0.2">
      <c r="A113" t="s">
        <v>11</v>
      </c>
      <c r="B113">
        <v>9</v>
      </c>
      <c r="C113">
        <v>8.1141319999999997</v>
      </c>
      <c r="D113">
        <v>0.90156999999999998</v>
      </c>
      <c r="E113">
        <v>0.98106400000000005</v>
      </c>
      <c r="F113">
        <v>0.32702100000000001</v>
      </c>
      <c r="G113">
        <v>6</v>
      </c>
      <c r="H113">
        <v>9</v>
      </c>
      <c r="I113">
        <v>8.1141319999999997</v>
      </c>
      <c r="J113">
        <v>0.90156999999999998</v>
      </c>
      <c r="K113">
        <v>0.98106400000000005</v>
      </c>
      <c r="L113">
        <v>0.32702100000000001</v>
      </c>
      <c r="M113">
        <f t="shared" si="26"/>
        <v>1.5</v>
      </c>
    </row>
    <row r="114" spans="1:13" x14ac:dyDescent="0.2">
      <c r="A114" t="s">
        <v>12</v>
      </c>
      <c r="B114">
        <v>17</v>
      </c>
      <c r="C114">
        <v>17.764434999999999</v>
      </c>
      <c r="D114">
        <v>1.044967</v>
      </c>
      <c r="E114">
        <v>0.89248000000000005</v>
      </c>
      <c r="F114">
        <v>0.21645800000000001</v>
      </c>
      <c r="G114">
        <v>4</v>
      </c>
      <c r="H114">
        <v>19</v>
      </c>
      <c r="I114">
        <v>19.418773000000002</v>
      </c>
      <c r="J114">
        <v>1.022041</v>
      </c>
      <c r="K114">
        <v>0.861317</v>
      </c>
      <c r="L114">
        <v>0.1976</v>
      </c>
      <c r="M114">
        <f t="shared" si="26"/>
        <v>4.25</v>
      </c>
    </row>
    <row r="115" spans="1:13" x14ac:dyDescent="0.2">
      <c r="A115" t="s">
        <v>13</v>
      </c>
      <c r="B115">
        <v>21</v>
      </c>
      <c r="C115">
        <v>35.568258999999998</v>
      </c>
      <c r="D115">
        <v>1.693727</v>
      </c>
      <c r="E115">
        <v>0.82885500000000001</v>
      </c>
      <c r="F115">
        <v>0.180871</v>
      </c>
      <c r="G115">
        <v>7</v>
      </c>
      <c r="H115">
        <v>21</v>
      </c>
      <c r="I115">
        <v>35.568258999999998</v>
      </c>
      <c r="J115">
        <v>1.693727</v>
      </c>
      <c r="K115">
        <v>0.82885500000000001</v>
      </c>
      <c r="L115">
        <v>0.180871</v>
      </c>
      <c r="M115">
        <f t="shared" si="26"/>
        <v>3</v>
      </c>
    </row>
    <row r="116" spans="1:13" x14ac:dyDescent="0.2">
      <c r="A116" t="s">
        <v>14</v>
      </c>
      <c r="B116">
        <v>14</v>
      </c>
      <c r="C116">
        <v>16.228263999999999</v>
      </c>
      <c r="D116">
        <v>1.159162</v>
      </c>
      <c r="E116">
        <v>0.86334500000000003</v>
      </c>
      <c r="F116">
        <v>0.230739</v>
      </c>
      <c r="G116">
        <v>9</v>
      </c>
      <c r="H116">
        <v>17</v>
      </c>
      <c r="I116">
        <v>17.488712</v>
      </c>
      <c r="J116">
        <v>1.028748</v>
      </c>
      <c r="K116">
        <v>0.844557</v>
      </c>
      <c r="L116">
        <v>0.20483499999999999</v>
      </c>
      <c r="M116">
        <f t="shared" si="26"/>
        <v>1.5555555555555556</v>
      </c>
    </row>
    <row r="117" spans="1:13" x14ac:dyDescent="0.2">
      <c r="A117" t="s">
        <v>112</v>
      </c>
      <c r="B117">
        <v>13</v>
      </c>
      <c r="C117">
        <v>17.252378</v>
      </c>
      <c r="D117">
        <v>1.3271059999999999</v>
      </c>
      <c r="E117">
        <v>0.84409299999999998</v>
      </c>
      <c r="F117">
        <v>0.23410900000000001</v>
      </c>
      <c r="G117">
        <v>11</v>
      </c>
      <c r="H117">
        <v>13</v>
      </c>
      <c r="I117">
        <v>17.252378</v>
      </c>
      <c r="J117">
        <v>1.3271059999999999</v>
      </c>
      <c r="K117">
        <v>0.84409299999999998</v>
      </c>
      <c r="L117">
        <v>0.23410900000000001</v>
      </c>
      <c r="M117">
        <f t="shared" si="26"/>
        <v>1.1818181818181819</v>
      </c>
    </row>
    <row r="118" spans="1:13" x14ac:dyDescent="0.2">
      <c r="A118" t="s">
        <v>51</v>
      </c>
      <c r="B118">
        <f>AVERAGE(B112:B117)</f>
        <v>13.333333333333334</v>
      </c>
      <c r="C118">
        <f t="shared" ref="C118:M118" si="27">AVERAGE(C112:C117)</f>
        <v>17.068562666666665</v>
      </c>
      <c r="D118">
        <f t="shared" si="27"/>
        <v>1.2289749999999999</v>
      </c>
      <c r="E118">
        <f t="shared" si="27"/>
        <v>0.83485033333333336</v>
      </c>
      <c r="F118">
        <f t="shared" si="27"/>
        <v>0.23897450000000001</v>
      </c>
      <c r="G118">
        <f t="shared" si="27"/>
        <v>6.666666666666667</v>
      </c>
      <c r="H118">
        <f t="shared" si="27"/>
        <v>14.333333333333334</v>
      </c>
      <c r="I118">
        <f t="shared" si="27"/>
        <v>17.639703166666663</v>
      </c>
      <c r="J118">
        <f t="shared" si="27"/>
        <v>1.1859121666666665</v>
      </c>
      <c r="K118">
        <f t="shared" si="27"/>
        <v>0.82891300000000001</v>
      </c>
      <c r="L118">
        <f t="shared" si="27"/>
        <v>0.22939200000000004</v>
      </c>
      <c r="M118">
        <f t="shared" si="27"/>
        <v>2.2478956228956228</v>
      </c>
    </row>
    <row r="119" spans="1:13" x14ac:dyDescent="0.2">
      <c r="A119" t="s">
        <v>52</v>
      </c>
      <c r="B119">
        <f>STDEV(B112:B117)</f>
        <v>5.3913510984415263</v>
      </c>
      <c r="C119">
        <f t="shared" ref="C119:M119" si="28">STDEV(C112:C117)</f>
        <v>10.153918714459078</v>
      </c>
      <c r="D119">
        <f t="shared" si="28"/>
        <v>0.27272235455569055</v>
      </c>
      <c r="E119">
        <f t="shared" si="28"/>
        <v>0.12738397153435976</v>
      </c>
      <c r="F119">
        <f t="shared" si="28"/>
        <v>4.8495138204772491E-2</v>
      </c>
      <c r="G119">
        <f t="shared" si="28"/>
        <v>3.0110906108363236</v>
      </c>
      <c r="H119">
        <f t="shared" si="28"/>
        <v>5.6095157247900334</v>
      </c>
      <c r="I119">
        <f t="shared" si="28"/>
        <v>10.084733161927762</v>
      </c>
      <c r="J119">
        <f t="shared" si="28"/>
        <v>0.28709583226610347</v>
      </c>
      <c r="K119">
        <f t="shared" si="28"/>
        <v>0.1191958468722797</v>
      </c>
      <c r="L119">
        <f t="shared" si="28"/>
        <v>5.2015588548049448E-2</v>
      </c>
      <c r="M119">
        <f t="shared" si="28"/>
        <v>1.1671108698573576</v>
      </c>
    </row>
    <row r="121" spans="1:13" x14ac:dyDescent="0.2">
      <c r="A121" s="1" t="s">
        <v>102</v>
      </c>
      <c r="B121" t="s">
        <v>0</v>
      </c>
      <c r="C121" t="s">
        <v>1</v>
      </c>
      <c r="D121" t="s">
        <v>2</v>
      </c>
      <c r="E121" t="s">
        <v>3</v>
      </c>
      <c r="F121" t="s">
        <v>4</v>
      </c>
      <c r="G121" t="s">
        <v>5</v>
      </c>
      <c r="H121" t="s">
        <v>6</v>
      </c>
      <c r="I121" t="s">
        <v>7</v>
      </c>
      <c r="J121" t="s">
        <v>8</v>
      </c>
      <c r="K121" t="s">
        <v>9</v>
      </c>
      <c r="L121" t="s">
        <v>10</v>
      </c>
      <c r="M121" t="s">
        <v>53</v>
      </c>
    </row>
    <row r="122" spans="1:13" x14ac:dyDescent="0.2">
      <c r="A122" t="s">
        <v>43</v>
      </c>
      <c r="B122">
        <v>26</v>
      </c>
      <c r="C122">
        <v>18.867327</v>
      </c>
      <c r="D122">
        <v>0.72566600000000003</v>
      </c>
      <c r="E122">
        <v>0.67364800000000002</v>
      </c>
      <c r="F122">
        <v>0.13211300000000001</v>
      </c>
      <c r="G122">
        <v>7</v>
      </c>
      <c r="H122">
        <v>26</v>
      </c>
      <c r="I122">
        <v>18.867327</v>
      </c>
      <c r="J122">
        <v>0.72566600000000003</v>
      </c>
      <c r="K122">
        <v>0.67364800000000002</v>
      </c>
      <c r="L122">
        <v>0.13211300000000001</v>
      </c>
      <c r="M122">
        <f t="shared" ref="M122:M127" si="29">B122/G122</f>
        <v>3.7142857142857144</v>
      </c>
    </row>
    <row r="123" spans="1:13" x14ac:dyDescent="0.2">
      <c r="A123" t="s">
        <v>44</v>
      </c>
      <c r="B123">
        <v>20</v>
      </c>
      <c r="C123">
        <v>16.307041999999999</v>
      </c>
      <c r="D123">
        <v>0.81535199999999997</v>
      </c>
      <c r="E123">
        <v>0.85097299999999998</v>
      </c>
      <c r="F123">
        <v>0.19028300000000001</v>
      </c>
      <c r="G123">
        <v>9</v>
      </c>
      <c r="H123">
        <v>20</v>
      </c>
      <c r="I123">
        <v>16.307041999999999</v>
      </c>
      <c r="J123">
        <v>0.81535199999999997</v>
      </c>
      <c r="K123">
        <v>0.85097299999999998</v>
      </c>
      <c r="L123">
        <v>0.19028300000000001</v>
      </c>
      <c r="M123">
        <f t="shared" si="29"/>
        <v>2.2222222222222223</v>
      </c>
    </row>
    <row r="124" spans="1:13" x14ac:dyDescent="0.2">
      <c r="A124" t="s">
        <v>45</v>
      </c>
      <c r="B124">
        <v>15</v>
      </c>
      <c r="C124">
        <v>18.118936000000001</v>
      </c>
      <c r="D124">
        <v>1.207929</v>
      </c>
      <c r="E124">
        <v>1.182763</v>
      </c>
      <c r="F124">
        <v>0.30538799999999999</v>
      </c>
      <c r="G124">
        <v>12</v>
      </c>
      <c r="H124">
        <v>15</v>
      </c>
      <c r="I124">
        <v>18.118936000000001</v>
      </c>
      <c r="J124">
        <v>1.207929</v>
      </c>
      <c r="K124">
        <v>1.182763</v>
      </c>
      <c r="L124">
        <v>0.30538799999999999</v>
      </c>
      <c r="M124">
        <f t="shared" si="29"/>
        <v>1.25</v>
      </c>
    </row>
    <row r="125" spans="1:13" x14ac:dyDescent="0.2">
      <c r="A125" t="s">
        <v>46</v>
      </c>
      <c r="B125">
        <v>14</v>
      </c>
      <c r="C125">
        <v>22.333558</v>
      </c>
      <c r="D125">
        <v>1.5952539999999999</v>
      </c>
      <c r="E125">
        <v>1.473538</v>
      </c>
      <c r="F125">
        <v>0.39382</v>
      </c>
      <c r="G125">
        <v>7</v>
      </c>
      <c r="H125">
        <v>14</v>
      </c>
      <c r="I125">
        <v>22.333558</v>
      </c>
      <c r="J125">
        <v>1.5952539999999999</v>
      </c>
      <c r="K125">
        <v>1.473538</v>
      </c>
      <c r="L125">
        <v>0.39382</v>
      </c>
      <c r="M125">
        <f t="shared" si="29"/>
        <v>2</v>
      </c>
    </row>
    <row r="126" spans="1:13" x14ac:dyDescent="0.2">
      <c r="A126" t="s">
        <v>34</v>
      </c>
      <c r="B126">
        <v>14</v>
      </c>
      <c r="C126">
        <v>17.725045999999999</v>
      </c>
      <c r="D126">
        <v>1.2660750000000001</v>
      </c>
      <c r="E126">
        <v>1.0937490000000001</v>
      </c>
      <c r="F126">
        <v>0.29231699999999999</v>
      </c>
      <c r="G126">
        <v>12</v>
      </c>
      <c r="H126">
        <v>14</v>
      </c>
      <c r="I126">
        <v>17.725045999999999</v>
      </c>
      <c r="J126">
        <v>1.2660750000000001</v>
      </c>
      <c r="K126">
        <v>1.0937490000000001</v>
      </c>
      <c r="L126">
        <v>0.29231699999999999</v>
      </c>
      <c r="M126">
        <f t="shared" si="29"/>
        <v>1.1666666666666667</v>
      </c>
    </row>
    <row r="127" spans="1:13" x14ac:dyDescent="0.2">
      <c r="A127" t="s">
        <v>35</v>
      </c>
      <c r="B127">
        <v>11</v>
      </c>
      <c r="C127">
        <v>13.510424</v>
      </c>
      <c r="D127">
        <v>1.2282200000000001</v>
      </c>
      <c r="E127">
        <v>0.82807200000000003</v>
      </c>
      <c r="F127">
        <v>0.24967300000000001</v>
      </c>
      <c r="G127">
        <v>9</v>
      </c>
      <c r="H127">
        <v>11</v>
      </c>
      <c r="I127">
        <v>13.510424</v>
      </c>
      <c r="J127">
        <v>1.2282200000000001</v>
      </c>
      <c r="K127">
        <v>0.82807200000000003</v>
      </c>
      <c r="L127">
        <v>0.24967300000000001</v>
      </c>
      <c r="M127">
        <f t="shared" si="29"/>
        <v>1.2222222222222223</v>
      </c>
    </row>
    <row r="128" spans="1:13" x14ac:dyDescent="0.2">
      <c r="A128" t="s">
        <v>51</v>
      </c>
      <c r="B128">
        <f>AVERAGE(B122:B127)</f>
        <v>16.666666666666668</v>
      </c>
      <c r="C128">
        <f t="shared" ref="C128:M128" si="30">AVERAGE(C122:C127)</f>
        <v>17.810388833333334</v>
      </c>
      <c r="D128">
        <f t="shared" si="30"/>
        <v>1.1397493333333333</v>
      </c>
      <c r="E128">
        <f t="shared" si="30"/>
        <v>1.0171238333333334</v>
      </c>
      <c r="F128">
        <f t="shared" si="30"/>
        <v>0.26059899999999997</v>
      </c>
      <c r="G128">
        <f t="shared" si="30"/>
        <v>9.3333333333333339</v>
      </c>
      <c r="H128">
        <f t="shared" si="30"/>
        <v>16.666666666666668</v>
      </c>
      <c r="I128">
        <f t="shared" si="30"/>
        <v>17.810388833333334</v>
      </c>
      <c r="J128">
        <f t="shared" si="30"/>
        <v>1.1397493333333333</v>
      </c>
      <c r="K128">
        <f t="shared" si="30"/>
        <v>1.0171238333333334</v>
      </c>
      <c r="L128">
        <f t="shared" si="30"/>
        <v>0.26059899999999997</v>
      </c>
      <c r="M128">
        <f t="shared" si="30"/>
        <v>1.9292328042328044</v>
      </c>
    </row>
    <row r="129" spans="1:13" x14ac:dyDescent="0.2">
      <c r="A129" t="s">
        <v>52</v>
      </c>
      <c r="B129">
        <f>STDEV(B122:B127)</f>
        <v>5.4283207962192739</v>
      </c>
      <c r="C129">
        <f t="shared" ref="C129:L129" si="31">STDEV(C122:C127)</f>
        <v>2.9130194513904715</v>
      </c>
      <c r="D129">
        <f t="shared" si="31"/>
        <v>0.32019270386419907</v>
      </c>
      <c r="E129">
        <f t="shared" si="31"/>
        <v>0.29084153225522391</v>
      </c>
      <c r="F129">
        <f t="shared" si="31"/>
        <v>9.2013358175864868E-2</v>
      </c>
      <c r="G129">
        <f t="shared" si="31"/>
        <v>2.2509257354845529</v>
      </c>
      <c r="H129">
        <f t="shared" si="31"/>
        <v>5.4283207962192739</v>
      </c>
      <c r="I129">
        <f t="shared" si="31"/>
        <v>2.9130194513904715</v>
      </c>
      <c r="J129">
        <f t="shared" si="31"/>
        <v>0.32019270386419907</v>
      </c>
      <c r="K129">
        <f t="shared" si="31"/>
        <v>0.29084153225522391</v>
      </c>
      <c r="L129">
        <f t="shared" si="31"/>
        <v>9.2013358175864868E-2</v>
      </c>
      <c r="M129">
        <f>STDEV(M122:M127)</f>
        <v>0.9818343003096125</v>
      </c>
    </row>
    <row r="131" spans="1:13" x14ac:dyDescent="0.2">
      <c r="A131" s="1" t="s">
        <v>110</v>
      </c>
      <c r="B131" t="s">
        <v>0</v>
      </c>
      <c r="C131" t="s">
        <v>1</v>
      </c>
      <c r="D131" t="s">
        <v>2</v>
      </c>
      <c r="E131" t="s">
        <v>3</v>
      </c>
      <c r="F131" t="s">
        <v>4</v>
      </c>
      <c r="G131" t="s">
        <v>5</v>
      </c>
      <c r="H131" t="s">
        <v>6</v>
      </c>
      <c r="I131" t="s">
        <v>7</v>
      </c>
      <c r="J131" t="s">
        <v>8</v>
      </c>
      <c r="K131" t="s">
        <v>9</v>
      </c>
      <c r="L131" t="s">
        <v>10</v>
      </c>
      <c r="M131" t="s">
        <v>53</v>
      </c>
    </row>
    <row r="132" spans="1:13" x14ac:dyDescent="0.2">
      <c r="A132" t="s">
        <v>33</v>
      </c>
      <c r="B132">
        <v>18</v>
      </c>
      <c r="C132">
        <v>25.130175999999999</v>
      </c>
      <c r="D132">
        <v>1.3961209999999999</v>
      </c>
      <c r="E132">
        <v>1.0294669999999999</v>
      </c>
      <c r="F132">
        <v>0.242648</v>
      </c>
      <c r="G132">
        <v>9</v>
      </c>
      <c r="H132">
        <v>18</v>
      </c>
      <c r="I132">
        <v>25.130175999999999</v>
      </c>
      <c r="J132">
        <v>1.3961209999999999</v>
      </c>
      <c r="K132">
        <v>1.0294669999999999</v>
      </c>
      <c r="L132">
        <v>0.242648</v>
      </c>
      <c r="M132">
        <f t="shared" ref="M132:M137" si="32">B132/G132</f>
        <v>2</v>
      </c>
    </row>
    <row r="133" spans="1:13" x14ac:dyDescent="0.2">
      <c r="A133" t="s">
        <v>15</v>
      </c>
      <c r="B133">
        <v>12</v>
      </c>
      <c r="C133">
        <v>12.683255000000001</v>
      </c>
      <c r="D133">
        <v>1.0569379999999999</v>
      </c>
      <c r="E133">
        <v>0.89235200000000003</v>
      </c>
      <c r="F133">
        <v>0.2576</v>
      </c>
      <c r="G133">
        <v>10</v>
      </c>
      <c r="H133">
        <v>12</v>
      </c>
      <c r="I133">
        <v>12.683255000000001</v>
      </c>
      <c r="J133">
        <v>1.0569379999999999</v>
      </c>
      <c r="K133">
        <v>0.89235200000000003</v>
      </c>
      <c r="L133">
        <v>0.2576</v>
      </c>
      <c r="M133">
        <f t="shared" si="32"/>
        <v>1.2</v>
      </c>
    </row>
    <row r="134" spans="1:13" x14ac:dyDescent="0.2">
      <c r="A134" t="s">
        <v>16</v>
      </c>
      <c r="B134">
        <v>15</v>
      </c>
      <c r="C134">
        <v>18.118936000000001</v>
      </c>
      <c r="D134">
        <v>1.207929</v>
      </c>
      <c r="E134">
        <v>1.0888009999999999</v>
      </c>
      <c r="F134">
        <v>0.28112700000000002</v>
      </c>
      <c r="G134">
        <v>6</v>
      </c>
      <c r="H134">
        <v>15</v>
      </c>
      <c r="I134">
        <v>18.118936000000001</v>
      </c>
      <c r="J134">
        <v>1.207929</v>
      </c>
      <c r="K134">
        <v>1.0888009999999999</v>
      </c>
      <c r="L134">
        <v>0.28112700000000002</v>
      </c>
      <c r="M134">
        <f t="shared" si="32"/>
        <v>2.5</v>
      </c>
    </row>
    <row r="135" spans="1:13" x14ac:dyDescent="0.2">
      <c r="A135" t="s">
        <v>17</v>
      </c>
      <c r="B135">
        <v>14</v>
      </c>
      <c r="C135">
        <v>11.068307000000001</v>
      </c>
      <c r="D135">
        <v>0.79059299999999999</v>
      </c>
      <c r="E135">
        <v>0.79147699999999999</v>
      </c>
      <c r="F135">
        <v>0.211531</v>
      </c>
      <c r="G135">
        <v>9</v>
      </c>
      <c r="H135">
        <v>14</v>
      </c>
      <c r="I135">
        <v>11.068307000000001</v>
      </c>
      <c r="J135">
        <v>0.79059299999999999</v>
      </c>
      <c r="K135">
        <v>0.79147699999999999</v>
      </c>
      <c r="L135">
        <v>0.211531</v>
      </c>
      <c r="M135">
        <f t="shared" si="32"/>
        <v>1.5555555555555556</v>
      </c>
    </row>
    <row r="136" spans="1:13" x14ac:dyDescent="0.2">
      <c r="A136" t="s">
        <v>68</v>
      </c>
      <c r="B136">
        <v>21</v>
      </c>
      <c r="C136">
        <v>18.434048000000001</v>
      </c>
      <c r="D136">
        <v>0.87781200000000004</v>
      </c>
      <c r="E136">
        <v>0.78146599999999999</v>
      </c>
      <c r="F136">
        <v>0.17052999999999999</v>
      </c>
      <c r="G136">
        <v>8</v>
      </c>
      <c r="H136">
        <v>21</v>
      </c>
      <c r="I136">
        <v>18.434048000000001</v>
      </c>
      <c r="J136">
        <v>0.87781200000000004</v>
      </c>
      <c r="K136">
        <v>0.78146599999999999</v>
      </c>
      <c r="L136">
        <v>0.17052999999999999</v>
      </c>
      <c r="M136">
        <f t="shared" si="32"/>
        <v>2.625</v>
      </c>
    </row>
    <row r="137" spans="1:13" x14ac:dyDescent="0.2">
      <c r="A137" t="s">
        <v>69</v>
      </c>
      <c r="B137">
        <v>23</v>
      </c>
      <c r="C137">
        <v>18.867327</v>
      </c>
      <c r="D137">
        <v>0.82031900000000002</v>
      </c>
      <c r="E137">
        <v>0.57506599999999997</v>
      </c>
      <c r="F137">
        <v>0.11991</v>
      </c>
      <c r="G137">
        <v>8</v>
      </c>
      <c r="H137">
        <v>24</v>
      </c>
      <c r="I137">
        <v>19.733885000000001</v>
      </c>
      <c r="J137">
        <v>0.822245</v>
      </c>
      <c r="K137">
        <v>0.56250500000000003</v>
      </c>
      <c r="L137">
        <v>0.11482100000000001</v>
      </c>
      <c r="M137">
        <f t="shared" si="32"/>
        <v>2.875</v>
      </c>
    </row>
    <row r="138" spans="1:13" x14ac:dyDescent="0.2">
      <c r="A138" t="s">
        <v>51</v>
      </c>
      <c r="B138">
        <f>AVERAGE(B132:B137)</f>
        <v>17.166666666666668</v>
      </c>
      <c r="C138">
        <f t="shared" ref="C138:M138" si="33">AVERAGE(C132:C137)</f>
        <v>17.383674833333334</v>
      </c>
      <c r="D138">
        <f t="shared" si="33"/>
        <v>1.0249519999999999</v>
      </c>
      <c r="E138">
        <f t="shared" si="33"/>
        <v>0.85977149999999991</v>
      </c>
      <c r="F138">
        <f t="shared" si="33"/>
        <v>0.21389100000000003</v>
      </c>
      <c r="G138">
        <f t="shared" si="33"/>
        <v>8.3333333333333339</v>
      </c>
      <c r="H138">
        <f t="shared" si="33"/>
        <v>17.333333333333332</v>
      </c>
      <c r="I138">
        <f t="shared" si="33"/>
        <v>17.528101166666669</v>
      </c>
      <c r="J138">
        <f t="shared" si="33"/>
        <v>1.0252729999999999</v>
      </c>
      <c r="K138">
        <f t="shared" si="33"/>
        <v>0.85767799999999994</v>
      </c>
      <c r="L138">
        <f t="shared" si="33"/>
        <v>0.21304283333333338</v>
      </c>
      <c r="M138">
        <f t="shared" si="33"/>
        <v>2.1259259259259262</v>
      </c>
    </row>
    <row r="139" spans="1:13" x14ac:dyDescent="0.2">
      <c r="A139" t="s">
        <v>52</v>
      </c>
      <c r="B139">
        <f>STDEV(B132:B137)</f>
        <v>4.262237284181472</v>
      </c>
      <c r="C139">
        <f t="shared" ref="C139:L139" si="34">STDEV(C132:C137)</f>
        <v>5.0165967414010559</v>
      </c>
      <c r="D139">
        <f t="shared" si="34"/>
        <v>0.24113029608740691</v>
      </c>
      <c r="E139">
        <f t="shared" si="34"/>
        <v>0.1866363712471395</v>
      </c>
      <c r="F139">
        <f t="shared" si="34"/>
        <v>5.9960479831302163E-2</v>
      </c>
      <c r="G139">
        <f t="shared" si="34"/>
        <v>1.366260102127945</v>
      </c>
      <c r="H139">
        <f t="shared" si="34"/>
        <v>4.5460605656619499</v>
      </c>
      <c r="I139">
        <f t="shared" si="34"/>
        <v>5.0799276492971162</v>
      </c>
      <c r="J139">
        <f t="shared" si="34"/>
        <v>0.24080446149106174</v>
      </c>
      <c r="K139">
        <f t="shared" si="34"/>
        <v>0.1904990966907722</v>
      </c>
      <c r="L139">
        <f t="shared" si="34"/>
        <v>6.1570148492322604E-2</v>
      </c>
      <c r="M139">
        <f>STDEV(M132:M137)</f>
        <v>0.65553593818733025</v>
      </c>
    </row>
    <row r="141" spans="1:13" x14ac:dyDescent="0.2">
      <c r="A141" s="1" t="s">
        <v>109</v>
      </c>
      <c r="B141" t="s">
        <v>0</v>
      </c>
      <c r="C141" t="s">
        <v>1</v>
      </c>
      <c r="D141" t="s">
        <v>2</v>
      </c>
      <c r="E141" t="s">
        <v>3</v>
      </c>
      <c r="F141" t="s">
        <v>4</v>
      </c>
      <c r="G141" t="s">
        <v>5</v>
      </c>
      <c r="H141" t="s">
        <v>6</v>
      </c>
      <c r="I141" t="s">
        <v>7</v>
      </c>
      <c r="J141" t="s">
        <v>8</v>
      </c>
      <c r="K141" t="s">
        <v>9</v>
      </c>
      <c r="L141" t="s">
        <v>10</v>
      </c>
      <c r="M141" t="s">
        <v>53</v>
      </c>
    </row>
    <row r="142" spans="1:13" x14ac:dyDescent="0.2">
      <c r="A142" t="s">
        <v>77</v>
      </c>
      <c r="B142">
        <v>11</v>
      </c>
      <c r="C142">
        <v>9.335191</v>
      </c>
      <c r="D142">
        <v>0.84865400000000002</v>
      </c>
      <c r="E142">
        <v>0.56296299999999999</v>
      </c>
      <c r="F142">
        <v>0.16974</v>
      </c>
      <c r="G142">
        <v>12</v>
      </c>
      <c r="H142">
        <v>11</v>
      </c>
      <c r="I142">
        <v>9.335191</v>
      </c>
      <c r="J142">
        <v>0.84865400000000002</v>
      </c>
      <c r="K142">
        <v>0.56296299999999999</v>
      </c>
      <c r="L142">
        <v>0.16974</v>
      </c>
      <c r="M142">
        <f>B142/G142</f>
        <v>0.91666666666666663</v>
      </c>
    </row>
    <row r="143" spans="1:13" x14ac:dyDescent="0.2">
      <c r="A143" t="s">
        <v>40</v>
      </c>
      <c r="B143">
        <v>10</v>
      </c>
      <c r="C143">
        <v>9.1382460000000005</v>
      </c>
      <c r="D143">
        <v>0.913825</v>
      </c>
      <c r="E143">
        <v>0.74938099999999996</v>
      </c>
      <c r="F143">
        <v>0.23697499999999999</v>
      </c>
      <c r="G143">
        <v>12</v>
      </c>
      <c r="H143">
        <v>10</v>
      </c>
      <c r="I143">
        <v>9.1382460000000005</v>
      </c>
      <c r="J143">
        <v>0.913825</v>
      </c>
      <c r="K143">
        <v>0.74938099999999996</v>
      </c>
      <c r="L143">
        <v>0.23697499999999999</v>
      </c>
      <c r="M143">
        <f t="shared" ref="M143:M153" si="35">B143/G143</f>
        <v>0.83333333333333337</v>
      </c>
    </row>
    <row r="144" spans="1:13" x14ac:dyDescent="0.2">
      <c r="A144" t="s">
        <v>41</v>
      </c>
      <c r="B144">
        <v>23</v>
      </c>
      <c r="C144">
        <v>20.521664000000001</v>
      </c>
      <c r="D144">
        <v>0.89224599999999998</v>
      </c>
      <c r="E144">
        <v>0.59755400000000003</v>
      </c>
      <c r="F144">
        <v>0.124599</v>
      </c>
      <c r="G144">
        <v>13</v>
      </c>
      <c r="H144">
        <v>23</v>
      </c>
      <c r="I144">
        <v>20.521664000000001</v>
      </c>
      <c r="J144">
        <v>0.89224599999999998</v>
      </c>
      <c r="K144">
        <v>0.59755400000000003</v>
      </c>
      <c r="L144">
        <v>0.124599</v>
      </c>
      <c r="M144">
        <f t="shared" si="35"/>
        <v>1.7692307692307692</v>
      </c>
    </row>
    <row r="145" spans="1:13" x14ac:dyDescent="0.2">
      <c r="A145" t="s">
        <v>42</v>
      </c>
      <c r="B145">
        <v>29</v>
      </c>
      <c r="C145">
        <v>25.799789000000001</v>
      </c>
      <c r="D145">
        <v>0.88964799999999999</v>
      </c>
      <c r="E145">
        <v>0.74620500000000001</v>
      </c>
      <c r="F145">
        <v>0.138567</v>
      </c>
      <c r="G145">
        <v>17</v>
      </c>
      <c r="H145">
        <v>29</v>
      </c>
      <c r="I145">
        <v>25.799789000000001</v>
      </c>
      <c r="J145">
        <v>0.88964799999999999</v>
      </c>
      <c r="K145">
        <v>0.74620500000000001</v>
      </c>
      <c r="L145">
        <v>0.138567</v>
      </c>
      <c r="M145">
        <f t="shared" si="35"/>
        <v>1.7058823529411764</v>
      </c>
    </row>
    <row r="146" spans="1:13" x14ac:dyDescent="0.2">
      <c r="A146" t="s">
        <v>31</v>
      </c>
      <c r="B146">
        <v>15</v>
      </c>
      <c r="C146">
        <v>11.186474</v>
      </c>
      <c r="D146">
        <v>0.74576500000000001</v>
      </c>
      <c r="E146">
        <v>0.55133900000000002</v>
      </c>
      <c r="F146">
        <v>0.14235500000000001</v>
      </c>
      <c r="G146">
        <v>11</v>
      </c>
      <c r="H146">
        <v>15</v>
      </c>
      <c r="I146">
        <v>11.186474</v>
      </c>
      <c r="J146">
        <v>0.74576500000000001</v>
      </c>
      <c r="K146">
        <v>0.55133900000000002</v>
      </c>
      <c r="L146">
        <v>0.14235500000000001</v>
      </c>
      <c r="M146">
        <f t="shared" si="35"/>
        <v>1.3636363636363635</v>
      </c>
    </row>
    <row r="147" spans="1:13" x14ac:dyDescent="0.2">
      <c r="A147" t="s">
        <v>32</v>
      </c>
      <c r="B147">
        <v>18</v>
      </c>
      <c r="C147">
        <v>16.582764999999998</v>
      </c>
      <c r="D147">
        <v>0.921265</v>
      </c>
      <c r="E147">
        <v>0.667242</v>
      </c>
      <c r="F147">
        <v>0.15727099999999999</v>
      </c>
      <c r="G147">
        <v>9</v>
      </c>
      <c r="H147">
        <v>18</v>
      </c>
      <c r="I147">
        <v>16.582764999999998</v>
      </c>
      <c r="J147">
        <v>0.921265</v>
      </c>
      <c r="K147">
        <v>0.667242</v>
      </c>
      <c r="L147">
        <v>0.15727099999999999</v>
      </c>
      <c r="M147">
        <f t="shared" si="35"/>
        <v>2</v>
      </c>
    </row>
    <row r="148" spans="1:13" x14ac:dyDescent="0.2">
      <c r="A148" t="s">
        <v>50</v>
      </c>
      <c r="B148">
        <v>23</v>
      </c>
      <c r="C148">
        <v>20.836776</v>
      </c>
      <c r="D148">
        <v>0.90594699999999995</v>
      </c>
      <c r="E148">
        <v>1.048006</v>
      </c>
      <c r="F148">
        <v>0.218524</v>
      </c>
      <c r="G148">
        <v>5</v>
      </c>
      <c r="H148">
        <v>23</v>
      </c>
      <c r="I148">
        <v>20.836776</v>
      </c>
      <c r="J148">
        <v>0.90594699999999995</v>
      </c>
      <c r="K148">
        <v>1.048006</v>
      </c>
      <c r="L148">
        <v>0.218524</v>
      </c>
      <c r="M148">
        <f t="shared" si="35"/>
        <v>4.5999999999999996</v>
      </c>
    </row>
    <row r="149" spans="1:13" x14ac:dyDescent="0.2">
      <c r="A149" t="s">
        <v>11</v>
      </c>
      <c r="B149">
        <v>12</v>
      </c>
      <c r="C149">
        <v>15.401096000000001</v>
      </c>
      <c r="D149">
        <v>1.283425</v>
      </c>
      <c r="E149">
        <v>1.2650779999999999</v>
      </c>
      <c r="F149">
        <v>0.36519699999999999</v>
      </c>
      <c r="G149">
        <v>7</v>
      </c>
      <c r="H149">
        <v>12</v>
      </c>
      <c r="I149">
        <v>15.401096000000001</v>
      </c>
      <c r="J149">
        <v>1.283425</v>
      </c>
      <c r="K149">
        <v>1.2650779999999999</v>
      </c>
      <c r="L149">
        <v>0.36519699999999999</v>
      </c>
      <c r="M149">
        <f t="shared" si="35"/>
        <v>1.7142857142857142</v>
      </c>
    </row>
    <row r="150" spans="1:13" x14ac:dyDescent="0.2">
      <c r="A150" t="s">
        <v>12</v>
      </c>
      <c r="B150">
        <v>28</v>
      </c>
      <c r="C150">
        <v>32.220194999999997</v>
      </c>
      <c r="D150">
        <v>1.1507210000000001</v>
      </c>
      <c r="E150">
        <v>0.98914100000000005</v>
      </c>
      <c r="F150">
        <v>0.18693000000000001</v>
      </c>
      <c r="G150">
        <v>8</v>
      </c>
      <c r="H150">
        <v>28</v>
      </c>
      <c r="I150">
        <v>32.220194999999997</v>
      </c>
      <c r="J150">
        <v>1.1507210000000001</v>
      </c>
      <c r="K150">
        <v>0.98914100000000005</v>
      </c>
      <c r="L150">
        <v>0.18693000000000001</v>
      </c>
      <c r="M150">
        <f t="shared" si="35"/>
        <v>3.5</v>
      </c>
    </row>
    <row r="151" spans="1:13" x14ac:dyDescent="0.2">
      <c r="A151" t="s">
        <v>13</v>
      </c>
      <c r="B151">
        <v>24</v>
      </c>
      <c r="C151">
        <v>25.366510000000002</v>
      </c>
      <c r="D151">
        <v>1.0569379999999999</v>
      </c>
      <c r="E151">
        <v>0.83311400000000002</v>
      </c>
      <c r="F151">
        <v>0.17005899999999999</v>
      </c>
      <c r="G151">
        <v>7</v>
      </c>
      <c r="H151">
        <v>25</v>
      </c>
      <c r="I151">
        <v>28.084351000000002</v>
      </c>
      <c r="J151">
        <v>1.1233740000000001</v>
      </c>
      <c r="K151">
        <v>0.88062700000000005</v>
      </c>
      <c r="L151">
        <v>0.176125</v>
      </c>
      <c r="M151">
        <f t="shared" si="35"/>
        <v>3.4285714285714284</v>
      </c>
    </row>
    <row r="152" spans="1:13" x14ac:dyDescent="0.2">
      <c r="A152" t="s">
        <v>14</v>
      </c>
      <c r="B152">
        <v>18</v>
      </c>
      <c r="C152">
        <v>16.779710000000001</v>
      </c>
      <c r="D152">
        <v>0.93220599999999998</v>
      </c>
      <c r="E152">
        <v>0.65354199999999996</v>
      </c>
      <c r="F152">
        <v>0.15404100000000001</v>
      </c>
      <c r="G152">
        <v>8</v>
      </c>
      <c r="H152">
        <v>18</v>
      </c>
      <c r="I152">
        <v>16.779710000000001</v>
      </c>
      <c r="J152">
        <v>0.93220599999999998</v>
      </c>
      <c r="K152">
        <v>0.65354199999999996</v>
      </c>
      <c r="L152">
        <v>0.15404100000000001</v>
      </c>
      <c r="M152">
        <f t="shared" si="35"/>
        <v>2.25</v>
      </c>
    </row>
    <row r="153" spans="1:13" x14ac:dyDescent="0.2">
      <c r="A153" t="s">
        <v>112</v>
      </c>
      <c r="B153">
        <v>18</v>
      </c>
      <c r="C153">
        <v>14.376982</v>
      </c>
      <c r="D153">
        <v>0.79872100000000001</v>
      </c>
      <c r="E153">
        <v>0.50655700000000004</v>
      </c>
      <c r="F153">
        <v>0.119397</v>
      </c>
      <c r="G153">
        <v>9</v>
      </c>
      <c r="H153">
        <v>18</v>
      </c>
      <c r="I153">
        <v>14.376982</v>
      </c>
      <c r="J153">
        <v>0.79872100000000001</v>
      </c>
      <c r="K153">
        <v>0.50655700000000004</v>
      </c>
      <c r="L153">
        <v>0.119397</v>
      </c>
      <c r="M153">
        <f t="shared" si="35"/>
        <v>2</v>
      </c>
    </row>
    <row r="154" spans="1:13" x14ac:dyDescent="0.2">
      <c r="A154" t="s">
        <v>51</v>
      </c>
      <c r="B154">
        <f>AVERAGE(B142:B153)</f>
        <v>19.083333333333332</v>
      </c>
      <c r="C154">
        <f t="shared" ref="C154:M154" si="36">AVERAGE(C142:C153)</f>
        <v>18.128783166666668</v>
      </c>
      <c r="D154">
        <f t="shared" si="36"/>
        <v>0.94494675000000028</v>
      </c>
      <c r="E154">
        <f t="shared" si="36"/>
        <v>0.76417683333333331</v>
      </c>
      <c r="F154">
        <f t="shared" si="36"/>
        <v>0.18197125</v>
      </c>
      <c r="G154">
        <f t="shared" si="36"/>
        <v>9.8333333333333339</v>
      </c>
      <c r="H154">
        <f t="shared" si="36"/>
        <v>19.166666666666668</v>
      </c>
      <c r="I154">
        <f t="shared" si="36"/>
        <v>18.355269916666668</v>
      </c>
      <c r="J154">
        <f t="shared" si="36"/>
        <v>0.95048308333333364</v>
      </c>
      <c r="K154">
        <f t="shared" si="36"/>
        <v>0.76813624999999996</v>
      </c>
      <c r="L154">
        <f t="shared" si="36"/>
        <v>0.18247674999999999</v>
      </c>
      <c r="M154">
        <f t="shared" si="36"/>
        <v>2.1734672190554543</v>
      </c>
    </row>
    <row r="155" spans="1:13" x14ac:dyDescent="0.2">
      <c r="A155" t="s">
        <v>52</v>
      </c>
      <c r="B155">
        <f>STDEV(B142:B153)</f>
        <v>6.4025326428237967</v>
      </c>
      <c r="C155">
        <f t="shared" ref="C155:M155" si="37">STDEV(C142:C153)</f>
        <v>7.1027213074993352</v>
      </c>
      <c r="D155">
        <f t="shared" si="37"/>
        <v>0.1504019637142841</v>
      </c>
      <c r="E155">
        <f t="shared" si="37"/>
        <v>0.23138292007478309</v>
      </c>
      <c r="F155">
        <f t="shared" si="37"/>
        <v>6.7621926996722009E-2</v>
      </c>
      <c r="G155">
        <f t="shared" si="37"/>
        <v>3.2983007562664577</v>
      </c>
      <c r="H155">
        <f t="shared" si="37"/>
        <v>6.4784023470063206</v>
      </c>
      <c r="I155">
        <f t="shared" si="37"/>
        <v>7.3919380893652535</v>
      </c>
      <c r="J155">
        <f t="shared" si="37"/>
        <v>0.15601709964700841</v>
      </c>
      <c r="K155">
        <f t="shared" si="37"/>
        <v>0.2330701800921873</v>
      </c>
      <c r="L155">
        <f t="shared" si="37"/>
        <v>6.7547414790884594E-2</v>
      </c>
      <c r="M155">
        <f t="shared" si="37"/>
        <v>1.1246534413538347</v>
      </c>
    </row>
    <row r="157" spans="1:13" x14ac:dyDescent="0.2">
      <c r="A157" t="s">
        <v>93</v>
      </c>
      <c r="B157" t="s">
        <v>0</v>
      </c>
      <c r="C157" t="s">
        <v>1</v>
      </c>
      <c r="D157" t="s">
        <v>2</v>
      </c>
      <c r="E157" t="s">
        <v>3</v>
      </c>
      <c r="F157" t="s">
        <v>4</v>
      </c>
      <c r="G157" t="s">
        <v>5</v>
      </c>
      <c r="H157" t="s">
        <v>6</v>
      </c>
      <c r="I157" t="s">
        <v>7</v>
      </c>
      <c r="J157" t="s">
        <v>8</v>
      </c>
      <c r="K157" t="s">
        <v>9</v>
      </c>
      <c r="L157" t="s">
        <v>10</v>
      </c>
      <c r="M157" t="s">
        <v>53</v>
      </c>
    </row>
    <row r="158" spans="1:13" x14ac:dyDescent="0.2">
      <c r="A158" t="s">
        <v>113</v>
      </c>
      <c r="B158">
        <v>25</v>
      </c>
      <c r="C158">
        <v>36.080316000000003</v>
      </c>
      <c r="D158">
        <v>1.4432130000000001</v>
      </c>
      <c r="E158">
        <v>1.1900580000000001</v>
      </c>
      <c r="F158">
        <v>0.238012</v>
      </c>
      <c r="G158">
        <v>7</v>
      </c>
      <c r="H158">
        <v>27</v>
      </c>
      <c r="I158">
        <v>41.909886999999998</v>
      </c>
      <c r="J158">
        <v>1.5522180000000001</v>
      </c>
      <c r="K158">
        <v>1.289247</v>
      </c>
      <c r="L158">
        <v>0.248116</v>
      </c>
      <c r="M158">
        <f t="shared" ref="M158:M163" si="38">B158/G158</f>
        <v>3.5714285714285716</v>
      </c>
    </row>
    <row r="159" spans="1:13" x14ac:dyDescent="0.2">
      <c r="A159" t="s">
        <v>47</v>
      </c>
      <c r="B159">
        <v>21</v>
      </c>
      <c r="C159">
        <v>22.806225999999999</v>
      </c>
      <c r="D159">
        <v>1.0860110000000001</v>
      </c>
      <c r="E159">
        <v>0.86257099999999998</v>
      </c>
      <c r="F159">
        <v>0.18822900000000001</v>
      </c>
      <c r="G159">
        <v>8</v>
      </c>
      <c r="H159">
        <v>21</v>
      </c>
      <c r="I159">
        <v>22.806225999999999</v>
      </c>
      <c r="J159">
        <v>1.0860110000000001</v>
      </c>
      <c r="K159">
        <v>0.86257099999999998</v>
      </c>
      <c r="L159">
        <v>0.18822900000000001</v>
      </c>
      <c r="M159">
        <f t="shared" si="38"/>
        <v>2.625</v>
      </c>
    </row>
    <row r="160" spans="1:13" x14ac:dyDescent="0.2">
      <c r="A160" t="s">
        <v>48</v>
      </c>
      <c r="B160">
        <v>37</v>
      </c>
      <c r="C160">
        <v>35.331924999999998</v>
      </c>
      <c r="D160">
        <v>0.95491700000000002</v>
      </c>
      <c r="E160">
        <v>1.025477</v>
      </c>
      <c r="F160">
        <v>0.16858699999999999</v>
      </c>
      <c r="G160">
        <v>10</v>
      </c>
      <c r="H160">
        <v>37</v>
      </c>
      <c r="I160">
        <v>35.331924999999998</v>
      </c>
      <c r="J160">
        <v>0.95491700000000002</v>
      </c>
      <c r="K160">
        <v>1.025477</v>
      </c>
      <c r="L160">
        <v>0.16858699999999999</v>
      </c>
      <c r="M160">
        <f t="shared" si="38"/>
        <v>3.7</v>
      </c>
    </row>
    <row r="161" spans="1:13" x14ac:dyDescent="0.2">
      <c r="A161" t="s">
        <v>67</v>
      </c>
      <c r="B161">
        <v>14</v>
      </c>
      <c r="C161">
        <v>29.384188000000002</v>
      </c>
      <c r="D161">
        <v>2.0988709999999999</v>
      </c>
      <c r="E161">
        <v>1.9034070000000001</v>
      </c>
      <c r="F161">
        <v>0.50870700000000002</v>
      </c>
      <c r="G161">
        <v>5</v>
      </c>
      <c r="H161">
        <v>15</v>
      </c>
      <c r="I161">
        <v>32.220194999999997</v>
      </c>
      <c r="J161">
        <v>2.1480130000000002</v>
      </c>
      <c r="K161">
        <v>1.844017</v>
      </c>
      <c r="L161">
        <v>0.47612300000000002</v>
      </c>
      <c r="M161">
        <f t="shared" si="38"/>
        <v>2.8</v>
      </c>
    </row>
    <row r="162" spans="1:13" x14ac:dyDescent="0.2">
      <c r="A162" t="s">
        <v>49</v>
      </c>
      <c r="B162">
        <v>22</v>
      </c>
      <c r="C162">
        <v>29.502354</v>
      </c>
      <c r="D162">
        <v>1.341016</v>
      </c>
      <c r="E162">
        <v>0.80801000000000001</v>
      </c>
      <c r="F162">
        <v>0.172268</v>
      </c>
      <c r="G162">
        <v>9</v>
      </c>
      <c r="H162">
        <v>22</v>
      </c>
      <c r="I162">
        <v>29.502354</v>
      </c>
      <c r="J162">
        <v>1.341016</v>
      </c>
      <c r="K162">
        <v>0.80801000000000001</v>
      </c>
      <c r="L162">
        <v>0.172268</v>
      </c>
      <c r="M162">
        <f t="shared" si="38"/>
        <v>2.4444444444444446</v>
      </c>
    </row>
    <row r="163" spans="1:13" x14ac:dyDescent="0.2">
      <c r="A163" t="s">
        <v>36</v>
      </c>
      <c r="B163">
        <v>22</v>
      </c>
      <c r="C163">
        <v>20.994332</v>
      </c>
      <c r="D163">
        <v>0.95428800000000003</v>
      </c>
      <c r="E163">
        <v>0.89737900000000004</v>
      </c>
      <c r="F163">
        <v>0.19132199999999999</v>
      </c>
      <c r="G163">
        <v>6</v>
      </c>
      <c r="H163">
        <v>22</v>
      </c>
      <c r="I163">
        <v>20.994332</v>
      </c>
      <c r="J163">
        <v>0.95428800000000003</v>
      </c>
      <c r="K163">
        <v>0.89737900000000004</v>
      </c>
      <c r="L163">
        <v>0.19132199999999999</v>
      </c>
      <c r="M163">
        <f t="shared" si="38"/>
        <v>3.6666666666666665</v>
      </c>
    </row>
    <row r="164" spans="1:13" x14ac:dyDescent="0.2">
      <c r="A164" t="s">
        <v>51</v>
      </c>
      <c r="B164">
        <f>AVERAGE(B158:B163)</f>
        <v>23.5</v>
      </c>
      <c r="C164">
        <f t="shared" ref="C164:L164" si="39">AVERAGE(C158:C163)</f>
        <v>29.016556833333329</v>
      </c>
      <c r="D164">
        <f t="shared" si="39"/>
        <v>1.3130526666666666</v>
      </c>
      <c r="E164">
        <f t="shared" si="39"/>
        <v>1.1144836666666667</v>
      </c>
      <c r="F164">
        <f t="shared" si="39"/>
        <v>0.24452083333333333</v>
      </c>
      <c r="G164">
        <f t="shared" si="39"/>
        <v>7.5</v>
      </c>
      <c r="H164">
        <f t="shared" si="39"/>
        <v>24</v>
      </c>
      <c r="I164">
        <f t="shared" si="39"/>
        <v>30.460819833333328</v>
      </c>
      <c r="J164">
        <f t="shared" si="39"/>
        <v>1.3394104999999998</v>
      </c>
      <c r="K164">
        <f t="shared" si="39"/>
        <v>1.1211168333333335</v>
      </c>
      <c r="L164">
        <f t="shared" si="39"/>
        <v>0.24077416666666671</v>
      </c>
      <c r="M164">
        <f>AVERAGE(M158:M163)</f>
        <v>3.1345899470899474</v>
      </c>
    </row>
    <row r="165" spans="1:13" x14ac:dyDescent="0.2">
      <c r="A165" t="s">
        <v>52</v>
      </c>
      <c r="B165">
        <f>STDEV(B158:B163)</f>
        <v>7.556454194925025</v>
      </c>
      <c r="C165">
        <f t="shared" ref="C165:L165" si="40">STDEV(C158:C163)</f>
        <v>6.2141133002716078</v>
      </c>
      <c r="D165">
        <f t="shared" si="40"/>
        <v>0.4344548937639755</v>
      </c>
      <c r="E165">
        <f t="shared" si="40"/>
        <v>0.41001322630455073</v>
      </c>
      <c r="F165">
        <f t="shared" si="40"/>
        <v>0.13177404972666917</v>
      </c>
      <c r="G165">
        <f t="shared" si="40"/>
        <v>1.8708286933869707</v>
      </c>
      <c r="H165">
        <f t="shared" si="40"/>
        <v>7.429670248402684</v>
      </c>
      <c r="I165">
        <f t="shared" si="40"/>
        <v>7.8361988350765692</v>
      </c>
      <c r="J165">
        <f t="shared" si="40"/>
        <v>0.46032456176952019</v>
      </c>
      <c r="K165">
        <f t="shared" si="40"/>
        <v>0.39368511191276556</v>
      </c>
      <c r="L165">
        <f t="shared" si="40"/>
        <v>0.11878852562333898</v>
      </c>
      <c r="M165">
        <f>STDEV(M158:M163)</f>
        <v>0.5729843468807726</v>
      </c>
    </row>
    <row r="167" spans="1:13" x14ac:dyDescent="0.2">
      <c r="A167" t="s">
        <v>114</v>
      </c>
      <c r="B167" t="s">
        <v>0</v>
      </c>
      <c r="C167" t="s">
        <v>1</v>
      </c>
      <c r="D167" t="s">
        <v>2</v>
      </c>
      <c r="E167" t="s">
        <v>3</v>
      </c>
      <c r="F167" t="s">
        <v>4</v>
      </c>
      <c r="G167" t="s">
        <v>5</v>
      </c>
      <c r="H167" t="s">
        <v>6</v>
      </c>
      <c r="I167" t="s">
        <v>7</v>
      </c>
      <c r="J167" t="s">
        <v>8</v>
      </c>
      <c r="K167" t="s">
        <v>9</v>
      </c>
      <c r="L167" t="s">
        <v>10</v>
      </c>
      <c r="M167" t="s">
        <v>53</v>
      </c>
    </row>
    <row r="168" spans="1:13" x14ac:dyDescent="0.2">
      <c r="A168" t="s">
        <v>37</v>
      </c>
      <c r="B168">
        <v>10</v>
      </c>
      <c r="C168">
        <v>8.7049669999999999</v>
      </c>
      <c r="D168">
        <v>0.87049699999999997</v>
      </c>
      <c r="E168">
        <v>0.61791799999999997</v>
      </c>
      <c r="F168">
        <v>0.19540299999999999</v>
      </c>
      <c r="G168">
        <v>6</v>
      </c>
      <c r="H168">
        <v>11</v>
      </c>
      <c r="I168">
        <v>8.8231339999999996</v>
      </c>
      <c r="J168">
        <v>0.80210300000000001</v>
      </c>
      <c r="K168">
        <v>0.62856599999999996</v>
      </c>
      <c r="L168">
        <v>0.18951999999999999</v>
      </c>
      <c r="M168">
        <f t="shared" ref="M168:M173" si="41">B168/G168</f>
        <v>1.6666666666666667</v>
      </c>
    </row>
    <row r="169" spans="1:13" x14ac:dyDescent="0.2">
      <c r="A169" t="s">
        <v>38</v>
      </c>
      <c r="B169">
        <v>22</v>
      </c>
      <c r="C169">
        <v>27.178404</v>
      </c>
      <c r="D169">
        <v>1.235382</v>
      </c>
      <c r="E169">
        <v>0.76711499999999999</v>
      </c>
      <c r="F169">
        <v>0.16355</v>
      </c>
      <c r="G169">
        <v>8</v>
      </c>
      <c r="H169">
        <v>22</v>
      </c>
      <c r="I169">
        <v>27.178404</v>
      </c>
      <c r="J169">
        <v>1.235382</v>
      </c>
      <c r="K169">
        <v>0.76711499999999999</v>
      </c>
      <c r="L169">
        <v>0.16355</v>
      </c>
      <c r="M169">
        <f t="shared" si="41"/>
        <v>2.75</v>
      </c>
    </row>
    <row r="170" spans="1:13" x14ac:dyDescent="0.2">
      <c r="A170" t="s">
        <v>39</v>
      </c>
      <c r="B170">
        <v>17</v>
      </c>
      <c r="C170">
        <v>17.646267999999999</v>
      </c>
      <c r="D170">
        <v>1.038016</v>
      </c>
      <c r="E170">
        <v>1.0008349999999999</v>
      </c>
      <c r="F170">
        <v>0.24273800000000001</v>
      </c>
      <c r="G170">
        <v>5</v>
      </c>
      <c r="H170">
        <v>17</v>
      </c>
      <c r="I170">
        <v>17.646267999999999</v>
      </c>
      <c r="J170">
        <v>1.038016</v>
      </c>
      <c r="K170">
        <v>1.0008349999999999</v>
      </c>
      <c r="L170">
        <v>0.24273800000000001</v>
      </c>
      <c r="M170">
        <f t="shared" si="41"/>
        <v>3.4</v>
      </c>
    </row>
    <row r="171" spans="1:13" x14ac:dyDescent="0.2">
      <c r="A171" t="s">
        <v>28</v>
      </c>
      <c r="B171">
        <v>12</v>
      </c>
      <c r="C171">
        <v>21.900279000000001</v>
      </c>
      <c r="D171">
        <v>1.8250230000000001</v>
      </c>
      <c r="E171">
        <v>0.95768799999999998</v>
      </c>
      <c r="F171">
        <v>0.27646100000000001</v>
      </c>
      <c r="G171">
        <v>7</v>
      </c>
      <c r="H171">
        <v>12</v>
      </c>
      <c r="I171">
        <v>21.900279000000001</v>
      </c>
      <c r="J171">
        <v>1.8250230000000001</v>
      </c>
      <c r="K171">
        <v>0.95768799999999998</v>
      </c>
      <c r="L171">
        <v>0.27646100000000001</v>
      </c>
      <c r="M171">
        <f t="shared" si="41"/>
        <v>1.7142857142857142</v>
      </c>
    </row>
    <row r="172" spans="1:13" x14ac:dyDescent="0.2">
      <c r="A172" t="s">
        <v>29</v>
      </c>
      <c r="B172">
        <v>11</v>
      </c>
      <c r="C172">
        <v>8.665578</v>
      </c>
      <c r="D172">
        <v>0.78778000000000004</v>
      </c>
      <c r="E172">
        <v>0.75417299999999998</v>
      </c>
      <c r="F172">
        <v>0.22739200000000001</v>
      </c>
      <c r="G172">
        <v>8</v>
      </c>
      <c r="H172">
        <v>11</v>
      </c>
      <c r="I172">
        <v>8.665578</v>
      </c>
      <c r="J172">
        <v>0.78778000000000004</v>
      </c>
      <c r="K172">
        <v>0.75417299999999998</v>
      </c>
      <c r="L172">
        <v>0.22739200000000001</v>
      </c>
      <c r="M172">
        <f t="shared" si="41"/>
        <v>1.375</v>
      </c>
    </row>
    <row r="173" spans="1:13" x14ac:dyDescent="0.2">
      <c r="A173" t="s">
        <v>30</v>
      </c>
      <c r="B173">
        <v>28</v>
      </c>
      <c r="C173">
        <v>22.530503</v>
      </c>
      <c r="D173">
        <v>0.80466099999999996</v>
      </c>
      <c r="E173">
        <v>0.68235800000000002</v>
      </c>
      <c r="F173">
        <v>0.12895300000000001</v>
      </c>
      <c r="G173">
        <v>13</v>
      </c>
      <c r="H173">
        <v>28</v>
      </c>
      <c r="I173">
        <v>22.530503</v>
      </c>
      <c r="J173">
        <v>0.80466099999999996</v>
      </c>
      <c r="K173">
        <v>0.68235800000000002</v>
      </c>
      <c r="L173">
        <v>0.12895300000000001</v>
      </c>
      <c r="M173">
        <f t="shared" si="41"/>
        <v>2.1538461538461537</v>
      </c>
    </row>
    <row r="174" spans="1:13" x14ac:dyDescent="0.2">
      <c r="A174" t="s">
        <v>51</v>
      </c>
      <c r="B174">
        <f>AVERAGE(B168:B173)</f>
        <v>16.666666666666668</v>
      </c>
      <c r="C174">
        <f t="shared" ref="C174:L174" si="42">AVERAGE(C168:C173)</f>
        <v>17.770999833333331</v>
      </c>
      <c r="D174">
        <f t="shared" si="42"/>
        <v>1.0935598333333332</v>
      </c>
      <c r="E174">
        <f t="shared" si="42"/>
        <v>0.79668116666666666</v>
      </c>
      <c r="F174">
        <f t="shared" si="42"/>
        <v>0.20574950000000003</v>
      </c>
      <c r="G174">
        <f t="shared" si="42"/>
        <v>7.833333333333333</v>
      </c>
      <c r="H174">
        <f t="shared" si="42"/>
        <v>16.833333333333332</v>
      </c>
      <c r="I174">
        <f t="shared" si="42"/>
        <v>17.790694333333331</v>
      </c>
      <c r="J174">
        <f t="shared" si="42"/>
        <v>1.0821608333333332</v>
      </c>
      <c r="K174">
        <f t="shared" si="42"/>
        <v>0.79845583333333325</v>
      </c>
      <c r="L174">
        <f t="shared" si="42"/>
        <v>0.20476900000000001</v>
      </c>
      <c r="M174">
        <f>AVERAGE(M168:M173)</f>
        <v>2.1766330891330887</v>
      </c>
    </row>
    <row r="175" spans="1:13" x14ac:dyDescent="0.2">
      <c r="A175" t="s">
        <v>52</v>
      </c>
      <c r="B175">
        <f>STDEV(B168:B173)</f>
        <v>7.1460945044595263</v>
      </c>
      <c r="C175">
        <f t="shared" ref="C175:L175" si="43">STDEV(C168:C173)</f>
        <v>7.6592465179423916</v>
      </c>
      <c r="D175">
        <f t="shared" si="43"/>
        <v>0.39622162448781972</v>
      </c>
      <c r="E175">
        <f t="shared" si="43"/>
        <v>0.15186121735507968</v>
      </c>
      <c r="F175">
        <f t="shared" si="43"/>
        <v>5.4078116545419573E-2</v>
      </c>
      <c r="G175">
        <f t="shared" si="43"/>
        <v>2.78687399547713</v>
      </c>
      <c r="H175">
        <f t="shared" si="43"/>
        <v>6.9689788826388801</v>
      </c>
      <c r="I175">
        <f t="shared" si="43"/>
        <v>7.6313735396629312</v>
      </c>
      <c r="J175">
        <f t="shared" si="43"/>
        <v>0.40481312069517567</v>
      </c>
      <c r="K175">
        <f t="shared" si="43"/>
        <v>0.14939657930410102</v>
      </c>
      <c r="L175">
        <f t="shared" si="43"/>
        <v>5.435584931173456E-2</v>
      </c>
      <c r="M175">
        <f>STDEV(M168:M173)</f>
        <v>0.76711692904868301</v>
      </c>
    </row>
    <row r="177" spans="1:13" x14ac:dyDescent="0.2">
      <c r="A177" t="s">
        <v>108</v>
      </c>
      <c r="B177" t="s">
        <v>0</v>
      </c>
      <c r="C177" t="s">
        <v>1</v>
      </c>
      <c r="D177" t="s">
        <v>2</v>
      </c>
      <c r="E177" t="s">
        <v>3</v>
      </c>
      <c r="F177" t="s">
        <v>4</v>
      </c>
      <c r="G177" t="s">
        <v>5</v>
      </c>
      <c r="H177" t="s">
        <v>6</v>
      </c>
      <c r="I177" t="s">
        <v>7</v>
      </c>
      <c r="J177" t="s">
        <v>8</v>
      </c>
      <c r="K177" t="s">
        <v>9</v>
      </c>
      <c r="L177" t="s">
        <v>10</v>
      </c>
      <c r="M177" t="s">
        <v>53</v>
      </c>
    </row>
    <row r="178" spans="1:13" x14ac:dyDescent="0.2">
      <c r="A178" t="s">
        <v>50</v>
      </c>
      <c r="B178">
        <v>10</v>
      </c>
      <c r="C178">
        <v>8.4292440000000006</v>
      </c>
      <c r="D178">
        <v>0.84292400000000001</v>
      </c>
      <c r="E178">
        <v>0.84504500000000005</v>
      </c>
      <c r="F178">
        <v>0.26722699999999999</v>
      </c>
      <c r="G178">
        <v>7</v>
      </c>
      <c r="H178">
        <v>10</v>
      </c>
      <c r="I178">
        <v>8.4292440000000006</v>
      </c>
      <c r="J178">
        <v>0.84292400000000001</v>
      </c>
      <c r="K178">
        <v>0.84504500000000005</v>
      </c>
      <c r="L178">
        <v>0.26722699999999999</v>
      </c>
      <c r="M178">
        <f>B178/G178</f>
        <v>1.4285714285714286</v>
      </c>
    </row>
    <row r="179" spans="1:13" x14ac:dyDescent="0.2">
      <c r="A179" t="s">
        <v>11</v>
      </c>
      <c r="B179">
        <v>17</v>
      </c>
      <c r="C179">
        <v>13.983091999999999</v>
      </c>
      <c r="D179">
        <v>0.82253500000000002</v>
      </c>
      <c r="E179">
        <v>0.64855700000000005</v>
      </c>
      <c r="F179">
        <v>0.15729799999999999</v>
      </c>
      <c r="G179">
        <v>17</v>
      </c>
      <c r="H179">
        <v>17</v>
      </c>
      <c r="I179">
        <v>13.983091999999999</v>
      </c>
      <c r="J179">
        <v>0.82253500000000002</v>
      </c>
      <c r="K179">
        <v>0.64855700000000005</v>
      </c>
      <c r="L179">
        <v>0.15729799999999999</v>
      </c>
      <c r="M179">
        <f t="shared" ref="M179:M188" si="44">B179/G179</f>
        <v>1</v>
      </c>
    </row>
    <row r="180" spans="1:13" x14ac:dyDescent="0.2">
      <c r="A180" t="s">
        <v>12</v>
      </c>
      <c r="B180">
        <v>17</v>
      </c>
      <c r="C180">
        <v>18.591604</v>
      </c>
      <c r="D180">
        <v>1.0936239999999999</v>
      </c>
      <c r="E180">
        <v>0.97089400000000003</v>
      </c>
      <c r="F180">
        <v>0.23547599999999999</v>
      </c>
      <c r="G180">
        <v>18</v>
      </c>
      <c r="H180">
        <v>17</v>
      </c>
      <c r="I180">
        <v>18.591604</v>
      </c>
      <c r="J180">
        <v>1.0936239999999999</v>
      </c>
      <c r="K180">
        <v>0.97089400000000003</v>
      </c>
      <c r="L180">
        <v>0.23547599999999999</v>
      </c>
      <c r="M180">
        <f t="shared" si="44"/>
        <v>0.94444444444444442</v>
      </c>
    </row>
    <row r="181" spans="1:13" x14ac:dyDescent="0.2">
      <c r="A181" t="s">
        <v>13</v>
      </c>
      <c r="B181">
        <v>15</v>
      </c>
      <c r="C181">
        <v>7.641464</v>
      </c>
      <c r="D181">
        <v>0.50943099999999997</v>
      </c>
      <c r="E181">
        <v>0.53169200000000005</v>
      </c>
      <c r="F181">
        <v>0.13728199999999999</v>
      </c>
      <c r="G181">
        <v>13</v>
      </c>
      <c r="H181">
        <v>15</v>
      </c>
      <c r="I181">
        <v>7.641464</v>
      </c>
      <c r="J181">
        <v>0.50943099999999997</v>
      </c>
      <c r="K181">
        <v>0.53169200000000005</v>
      </c>
      <c r="L181">
        <v>0.13728199999999999</v>
      </c>
      <c r="M181">
        <f t="shared" si="44"/>
        <v>1.1538461538461537</v>
      </c>
    </row>
    <row r="182" spans="1:13" x14ac:dyDescent="0.2">
      <c r="A182" t="s">
        <v>112</v>
      </c>
      <c r="B182">
        <v>18</v>
      </c>
      <c r="C182">
        <v>17.488712</v>
      </c>
      <c r="D182">
        <v>0.97159499999999999</v>
      </c>
      <c r="E182">
        <v>1.223112</v>
      </c>
      <c r="F182">
        <v>0.28828999999999999</v>
      </c>
      <c r="G182">
        <v>9</v>
      </c>
      <c r="H182">
        <v>18</v>
      </c>
      <c r="I182">
        <v>17.488712</v>
      </c>
      <c r="J182">
        <v>0.97159499999999999</v>
      </c>
      <c r="K182">
        <v>1.223112</v>
      </c>
      <c r="L182">
        <v>0.28828999999999999</v>
      </c>
      <c r="M182">
        <f t="shared" si="44"/>
        <v>2</v>
      </c>
    </row>
    <row r="183" spans="1:13" x14ac:dyDescent="0.2">
      <c r="A183" t="s">
        <v>37</v>
      </c>
      <c r="B183">
        <v>7</v>
      </c>
      <c r="C183">
        <v>8.5868000000000002</v>
      </c>
      <c r="D183">
        <v>1.2266859999999999</v>
      </c>
      <c r="E183">
        <v>1.3723030000000001</v>
      </c>
      <c r="F183">
        <v>0.51868199999999998</v>
      </c>
      <c r="G183">
        <v>4</v>
      </c>
      <c r="H183">
        <v>7</v>
      </c>
      <c r="I183">
        <v>8.5868000000000002</v>
      </c>
      <c r="J183">
        <v>1.2266859999999999</v>
      </c>
      <c r="K183">
        <v>1.3723030000000001</v>
      </c>
      <c r="L183">
        <v>0.51868199999999998</v>
      </c>
      <c r="M183">
        <f t="shared" si="44"/>
        <v>1.75</v>
      </c>
    </row>
    <row r="184" spans="1:13" x14ac:dyDescent="0.2">
      <c r="A184" t="s">
        <v>38</v>
      </c>
      <c r="B184">
        <v>12</v>
      </c>
      <c r="C184">
        <v>13.116534</v>
      </c>
      <c r="D184">
        <v>1.093045</v>
      </c>
      <c r="E184">
        <v>0.71299400000000002</v>
      </c>
      <c r="F184">
        <v>0.20582400000000001</v>
      </c>
      <c r="G184">
        <v>5</v>
      </c>
      <c r="H184">
        <v>12</v>
      </c>
      <c r="I184">
        <v>13.116534</v>
      </c>
      <c r="J184">
        <v>1.093045</v>
      </c>
      <c r="K184">
        <v>0.71299400000000002</v>
      </c>
      <c r="L184">
        <v>0.20582400000000001</v>
      </c>
      <c r="M184">
        <f t="shared" si="44"/>
        <v>2.4</v>
      </c>
    </row>
    <row r="185" spans="1:13" x14ac:dyDescent="0.2">
      <c r="A185" t="s">
        <v>39</v>
      </c>
      <c r="B185">
        <v>9</v>
      </c>
      <c r="C185">
        <v>10.831973</v>
      </c>
      <c r="D185">
        <v>1.2035530000000001</v>
      </c>
      <c r="E185">
        <v>1.02129</v>
      </c>
      <c r="F185">
        <v>0.34043000000000001</v>
      </c>
      <c r="G185">
        <v>3</v>
      </c>
      <c r="H185">
        <v>9</v>
      </c>
      <c r="I185">
        <v>10.831973</v>
      </c>
      <c r="J185">
        <v>1.2035530000000001</v>
      </c>
      <c r="K185">
        <v>1.02129</v>
      </c>
      <c r="L185">
        <v>0.34043000000000001</v>
      </c>
      <c r="M185">
        <f t="shared" si="44"/>
        <v>3</v>
      </c>
    </row>
    <row r="186" spans="1:13" x14ac:dyDescent="0.2">
      <c r="A186" t="s">
        <v>28</v>
      </c>
      <c r="B186">
        <v>21</v>
      </c>
      <c r="C186">
        <v>32.811030000000002</v>
      </c>
      <c r="D186">
        <v>1.56243</v>
      </c>
      <c r="E186">
        <v>1.2386779999999999</v>
      </c>
      <c r="F186">
        <v>0.27030199999999999</v>
      </c>
      <c r="G186">
        <v>8</v>
      </c>
      <c r="H186">
        <v>21</v>
      </c>
      <c r="I186">
        <v>32.811030000000002</v>
      </c>
      <c r="J186">
        <v>1.56243</v>
      </c>
      <c r="K186">
        <v>1.2386779999999999</v>
      </c>
      <c r="L186">
        <v>0.27030199999999999</v>
      </c>
      <c r="M186">
        <f t="shared" si="44"/>
        <v>2.625</v>
      </c>
    </row>
    <row r="187" spans="1:13" x14ac:dyDescent="0.2">
      <c r="A187" t="s">
        <v>29</v>
      </c>
      <c r="B187">
        <v>11</v>
      </c>
      <c r="C187">
        <v>12.48631</v>
      </c>
      <c r="D187">
        <v>1.135119</v>
      </c>
      <c r="E187">
        <v>0.79186900000000005</v>
      </c>
      <c r="F187">
        <v>0.238758</v>
      </c>
      <c r="G187">
        <v>5</v>
      </c>
      <c r="H187">
        <v>11</v>
      </c>
      <c r="I187">
        <v>12.48631</v>
      </c>
      <c r="J187">
        <v>1.135119</v>
      </c>
      <c r="K187">
        <v>0.79186900000000005</v>
      </c>
      <c r="L187">
        <v>0.238758</v>
      </c>
      <c r="M187">
        <f t="shared" si="44"/>
        <v>2.2000000000000002</v>
      </c>
    </row>
    <row r="188" spans="1:13" x14ac:dyDescent="0.2">
      <c r="A188" t="s">
        <v>30</v>
      </c>
      <c r="B188">
        <v>14</v>
      </c>
      <c r="C188">
        <v>15.558652</v>
      </c>
      <c r="D188">
        <v>1.111332</v>
      </c>
      <c r="E188">
        <v>0.93341600000000002</v>
      </c>
      <c r="F188">
        <v>0.24946599999999999</v>
      </c>
      <c r="G188">
        <v>5</v>
      </c>
      <c r="H188">
        <v>14</v>
      </c>
      <c r="I188">
        <v>15.558652</v>
      </c>
      <c r="J188">
        <v>1.111332</v>
      </c>
      <c r="K188">
        <v>0.93341600000000002</v>
      </c>
      <c r="L188">
        <v>0.24946599999999999</v>
      </c>
      <c r="M188">
        <f t="shared" si="44"/>
        <v>2.8</v>
      </c>
    </row>
    <row r="189" spans="1:13" x14ac:dyDescent="0.2">
      <c r="A189" t="s">
        <v>51</v>
      </c>
      <c r="B189">
        <f>AVERAGE(B177:B188)</f>
        <v>13.727272727272727</v>
      </c>
      <c r="C189">
        <f t="shared" ref="C189:M189" si="45">AVERAGE(C177:C188)</f>
        <v>14.502310454545455</v>
      </c>
      <c r="D189">
        <f t="shared" si="45"/>
        <v>1.0520249090909091</v>
      </c>
      <c r="E189">
        <f t="shared" si="45"/>
        <v>0.93544090909090916</v>
      </c>
      <c r="F189">
        <f t="shared" si="45"/>
        <v>0.26445772727272721</v>
      </c>
      <c r="G189">
        <f t="shared" si="45"/>
        <v>8.545454545454545</v>
      </c>
      <c r="H189">
        <f t="shared" si="45"/>
        <v>13.727272727272727</v>
      </c>
      <c r="I189">
        <f t="shared" si="45"/>
        <v>14.502310454545455</v>
      </c>
      <c r="J189">
        <f t="shared" si="45"/>
        <v>1.0520249090909091</v>
      </c>
      <c r="K189">
        <f t="shared" si="45"/>
        <v>0.93544090909090916</v>
      </c>
      <c r="L189">
        <f t="shared" si="45"/>
        <v>0.26445772727272721</v>
      </c>
      <c r="M189">
        <f t="shared" si="45"/>
        <v>1.9365329115329113</v>
      </c>
    </row>
    <row r="190" spans="1:13" x14ac:dyDescent="0.2">
      <c r="A190" t="s">
        <v>52</v>
      </c>
      <c r="B190">
        <f>STDEV(B177:B188)</f>
        <v>4.3148791197647478</v>
      </c>
      <c r="C190">
        <f t="shared" ref="C190:M190" si="46">STDEV(C177:C188)</f>
        <v>7.0755791138735962</v>
      </c>
      <c r="D190">
        <f t="shared" si="46"/>
        <v>0.26927339936445877</v>
      </c>
      <c r="E190">
        <f t="shared" si="46"/>
        <v>0.26415326315510612</v>
      </c>
      <c r="F190">
        <f t="shared" si="46"/>
        <v>0.1018977545386463</v>
      </c>
      <c r="G190">
        <f t="shared" si="46"/>
        <v>5.2223296786709348</v>
      </c>
      <c r="H190">
        <f t="shared" si="46"/>
        <v>4.3148791197647478</v>
      </c>
      <c r="I190">
        <f t="shared" si="46"/>
        <v>7.0755791138735962</v>
      </c>
      <c r="J190">
        <f t="shared" si="46"/>
        <v>0.26927339936445877</v>
      </c>
      <c r="K190">
        <f t="shared" si="46"/>
        <v>0.26415326315510612</v>
      </c>
      <c r="L190">
        <f t="shared" si="46"/>
        <v>0.1018977545386463</v>
      </c>
      <c r="M190">
        <f t="shared" si="46"/>
        <v>0.73522246224980536</v>
      </c>
    </row>
    <row r="192" spans="1:13" x14ac:dyDescent="0.2">
      <c r="A192" t="s">
        <v>104</v>
      </c>
      <c r="B192" t="s">
        <v>0</v>
      </c>
      <c r="C192" t="s">
        <v>1</v>
      </c>
      <c r="D192" t="s">
        <v>2</v>
      </c>
      <c r="E192" t="s">
        <v>3</v>
      </c>
      <c r="F192" t="s">
        <v>4</v>
      </c>
      <c r="G192" t="s">
        <v>5</v>
      </c>
      <c r="H192" t="s">
        <v>6</v>
      </c>
      <c r="I192" t="s">
        <v>7</v>
      </c>
      <c r="J192" t="s">
        <v>8</v>
      </c>
      <c r="K192" t="s">
        <v>9</v>
      </c>
      <c r="L192" t="s">
        <v>10</v>
      </c>
      <c r="M192" t="s">
        <v>53</v>
      </c>
    </row>
    <row r="193" spans="1:13" x14ac:dyDescent="0.2">
      <c r="A193" t="s">
        <v>43</v>
      </c>
      <c r="B193">
        <v>8</v>
      </c>
      <c r="C193">
        <v>11.344029000000001</v>
      </c>
      <c r="D193">
        <v>1.418004</v>
      </c>
      <c r="E193">
        <v>1.189149</v>
      </c>
      <c r="F193">
        <v>0.42042800000000002</v>
      </c>
      <c r="G193">
        <v>3</v>
      </c>
      <c r="H193">
        <v>8</v>
      </c>
      <c r="I193">
        <v>11.344029000000001</v>
      </c>
      <c r="J193">
        <v>1.418004</v>
      </c>
      <c r="K193">
        <v>1.189149</v>
      </c>
      <c r="L193">
        <v>0.42042800000000002</v>
      </c>
      <c r="M193">
        <f t="shared" ref="M193:M198" si="47">B193/G193</f>
        <v>2.6666666666666665</v>
      </c>
    </row>
    <row r="194" spans="1:13" x14ac:dyDescent="0.2">
      <c r="A194" t="s">
        <v>44</v>
      </c>
      <c r="B194">
        <v>5</v>
      </c>
      <c r="C194">
        <v>8.5080220000000004</v>
      </c>
      <c r="D194">
        <v>1.7016039999999999</v>
      </c>
      <c r="E194">
        <v>1.4079569999999999</v>
      </c>
      <c r="F194">
        <v>0.62965700000000002</v>
      </c>
      <c r="G194">
        <v>5</v>
      </c>
      <c r="H194">
        <v>5</v>
      </c>
      <c r="I194">
        <v>8.5080220000000004</v>
      </c>
      <c r="J194">
        <v>1.7016039999999999</v>
      </c>
      <c r="K194">
        <v>1.4079569999999999</v>
      </c>
      <c r="L194">
        <v>0.62965700000000002</v>
      </c>
      <c r="M194">
        <f t="shared" si="47"/>
        <v>1</v>
      </c>
    </row>
    <row r="195" spans="1:13" x14ac:dyDescent="0.2">
      <c r="A195" t="s">
        <v>45</v>
      </c>
      <c r="B195">
        <v>9</v>
      </c>
      <c r="C195">
        <v>15.085984</v>
      </c>
      <c r="D195">
        <v>1.67622</v>
      </c>
      <c r="E195">
        <v>1.393462</v>
      </c>
      <c r="F195">
        <v>0.46448699999999998</v>
      </c>
      <c r="G195">
        <v>9</v>
      </c>
      <c r="H195">
        <v>9</v>
      </c>
      <c r="I195">
        <v>15.085984</v>
      </c>
      <c r="J195">
        <v>1.67622</v>
      </c>
      <c r="K195">
        <v>1.393462</v>
      </c>
      <c r="L195">
        <v>0.46448699999999998</v>
      </c>
      <c r="M195">
        <f t="shared" si="47"/>
        <v>1</v>
      </c>
    </row>
    <row r="196" spans="1:13" x14ac:dyDescent="0.2">
      <c r="A196" t="s">
        <v>46</v>
      </c>
      <c r="B196">
        <v>17</v>
      </c>
      <c r="C196">
        <v>19.339994999999998</v>
      </c>
      <c r="D196">
        <v>1.1376470000000001</v>
      </c>
      <c r="E196">
        <v>0.77247699999999997</v>
      </c>
      <c r="F196">
        <v>0.18735299999999999</v>
      </c>
      <c r="G196">
        <v>10</v>
      </c>
      <c r="H196">
        <v>17</v>
      </c>
      <c r="I196">
        <v>19.339994999999998</v>
      </c>
      <c r="J196">
        <v>1.1376470000000001</v>
      </c>
      <c r="K196">
        <v>0.77247699999999997</v>
      </c>
      <c r="L196">
        <v>0.18735299999999999</v>
      </c>
      <c r="M196">
        <f t="shared" si="47"/>
        <v>1.7</v>
      </c>
    </row>
    <row r="197" spans="1:13" x14ac:dyDescent="0.2">
      <c r="A197" t="s">
        <v>34</v>
      </c>
      <c r="B197">
        <v>45</v>
      </c>
      <c r="C197">
        <v>32.614085000000003</v>
      </c>
      <c r="D197">
        <v>0.72475699999999998</v>
      </c>
      <c r="E197">
        <v>0.957175</v>
      </c>
      <c r="F197">
        <v>0.14268700000000001</v>
      </c>
      <c r="G197">
        <v>13</v>
      </c>
      <c r="H197">
        <v>45</v>
      </c>
      <c r="I197">
        <v>32.614085000000003</v>
      </c>
      <c r="J197">
        <v>0.72475699999999998</v>
      </c>
      <c r="K197">
        <v>0.957175</v>
      </c>
      <c r="L197">
        <v>0.14268700000000001</v>
      </c>
      <c r="M197">
        <f t="shared" si="47"/>
        <v>3.4615384615384617</v>
      </c>
    </row>
    <row r="198" spans="1:13" x14ac:dyDescent="0.2">
      <c r="A198" t="s">
        <v>35</v>
      </c>
      <c r="B198">
        <v>29</v>
      </c>
      <c r="C198">
        <v>10.674417</v>
      </c>
      <c r="D198">
        <v>0.36808299999999999</v>
      </c>
      <c r="E198">
        <v>0.38294499999999998</v>
      </c>
      <c r="F198">
        <v>7.1110999999999994E-2</v>
      </c>
      <c r="G198">
        <v>15</v>
      </c>
      <c r="H198">
        <v>29</v>
      </c>
      <c r="I198">
        <v>10.674417</v>
      </c>
      <c r="J198">
        <v>0.36808299999999999</v>
      </c>
      <c r="K198">
        <v>0.38294499999999998</v>
      </c>
      <c r="L198">
        <v>7.1110999999999994E-2</v>
      </c>
      <c r="M198">
        <f t="shared" si="47"/>
        <v>1.9333333333333333</v>
      </c>
    </row>
    <row r="199" spans="1:13" x14ac:dyDescent="0.2">
      <c r="A199" t="s">
        <v>51</v>
      </c>
      <c r="B199">
        <f>AVERAGE(B193:B198)</f>
        <v>18.833333333333332</v>
      </c>
      <c r="C199">
        <f t="shared" ref="C199:L199" si="48">AVERAGE(C193:C198)</f>
        <v>16.261088666666669</v>
      </c>
      <c r="D199">
        <f t="shared" si="48"/>
        <v>1.1710525000000003</v>
      </c>
      <c r="E199">
        <f t="shared" si="48"/>
        <v>1.0171941666666668</v>
      </c>
      <c r="F199">
        <f t="shared" si="48"/>
        <v>0.31928716666666668</v>
      </c>
      <c r="G199">
        <f t="shared" si="48"/>
        <v>9.1666666666666661</v>
      </c>
      <c r="H199">
        <f t="shared" si="48"/>
        <v>18.833333333333332</v>
      </c>
      <c r="I199">
        <f t="shared" si="48"/>
        <v>16.261088666666669</v>
      </c>
      <c r="J199">
        <f t="shared" si="48"/>
        <v>1.1710525000000003</v>
      </c>
      <c r="K199">
        <f t="shared" si="48"/>
        <v>1.0171941666666668</v>
      </c>
      <c r="L199">
        <f t="shared" si="48"/>
        <v>0.31928716666666668</v>
      </c>
      <c r="M199">
        <f>AVERAGE(M193:M198)</f>
        <v>1.9602564102564102</v>
      </c>
    </row>
    <row r="200" spans="1:13" x14ac:dyDescent="0.2">
      <c r="A200" t="s">
        <v>52</v>
      </c>
      <c r="B200">
        <f>STDEV(B193:B198)</f>
        <v>15.471479136354956</v>
      </c>
      <c r="C200">
        <f t="shared" ref="C200:L200" si="49">STDEV(C193:C198)</f>
        <v>8.8744514543666195</v>
      </c>
      <c r="D200">
        <f t="shared" si="49"/>
        <v>0.53716287273814756</v>
      </c>
      <c r="E200">
        <f t="shared" si="49"/>
        <v>0.3973920825755925</v>
      </c>
      <c r="F200">
        <f t="shared" si="49"/>
        <v>0.21809518385917342</v>
      </c>
      <c r="G200">
        <f t="shared" si="49"/>
        <v>4.5789372857319917</v>
      </c>
      <c r="H200">
        <f t="shared" si="49"/>
        <v>15.471479136354956</v>
      </c>
      <c r="I200">
        <f t="shared" si="49"/>
        <v>8.8744514543666195</v>
      </c>
      <c r="J200">
        <f t="shared" si="49"/>
        <v>0.53716287273814756</v>
      </c>
      <c r="K200">
        <f t="shared" si="49"/>
        <v>0.3973920825755925</v>
      </c>
      <c r="L200">
        <f t="shared" si="49"/>
        <v>0.21809518385917342</v>
      </c>
      <c r="M200">
        <f>STDEV(M193:M198)</f>
        <v>0.96597166064961426</v>
      </c>
    </row>
    <row r="202" spans="1:13" x14ac:dyDescent="0.2">
      <c r="A202" t="s">
        <v>98</v>
      </c>
      <c r="B202" t="s">
        <v>0</v>
      </c>
      <c r="C202" t="s">
        <v>1</v>
      </c>
      <c r="D202" t="s">
        <v>2</v>
      </c>
      <c r="E202" t="s">
        <v>3</v>
      </c>
      <c r="F202" t="s">
        <v>4</v>
      </c>
      <c r="G202" t="s">
        <v>5</v>
      </c>
      <c r="H202" t="s">
        <v>6</v>
      </c>
      <c r="I202" t="s">
        <v>7</v>
      </c>
      <c r="J202" t="s">
        <v>8</v>
      </c>
      <c r="K202" t="s">
        <v>9</v>
      </c>
      <c r="L202" t="s">
        <v>10</v>
      </c>
      <c r="M202" t="s">
        <v>53</v>
      </c>
    </row>
    <row r="203" spans="1:13" x14ac:dyDescent="0.2">
      <c r="A203" t="s">
        <v>68</v>
      </c>
      <c r="B203">
        <v>33</v>
      </c>
      <c r="C203">
        <v>44.233837000000001</v>
      </c>
      <c r="D203">
        <v>1.340419</v>
      </c>
      <c r="E203">
        <v>1.092889</v>
      </c>
      <c r="F203">
        <v>0.190247</v>
      </c>
      <c r="G203">
        <v>9</v>
      </c>
      <c r="H203">
        <v>33</v>
      </c>
      <c r="I203">
        <v>44.233837000000001</v>
      </c>
      <c r="J203">
        <v>1.340419</v>
      </c>
      <c r="K203">
        <v>1.092889</v>
      </c>
      <c r="L203">
        <v>0.190247</v>
      </c>
      <c r="M203">
        <f>B203/G203</f>
        <v>3.6666666666666665</v>
      </c>
    </row>
    <row r="204" spans="1:13" x14ac:dyDescent="0.2">
      <c r="A204" t="s">
        <v>69</v>
      </c>
      <c r="B204">
        <v>17</v>
      </c>
      <c r="C204">
        <v>28.044962000000002</v>
      </c>
      <c r="D204">
        <v>1.6497040000000001</v>
      </c>
      <c r="E204">
        <v>1.7809029999999999</v>
      </c>
      <c r="F204">
        <v>0.43193199999999998</v>
      </c>
      <c r="G204">
        <v>8</v>
      </c>
      <c r="H204">
        <v>18</v>
      </c>
      <c r="I204">
        <v>30.802191000000001</v>
      </c>
      <c r="J204">
        <v>1.711233</v>
      </c>
      <c r="K204">
        <v>1.7473399999999999</v>
      </c>
      <c r="L204">
        <v>0.411852</v>
      </c>
      <c r="M204">
        <f>B204/G204</f>
        <v>2.125</v>
      </c>
    </row>
    <row r="205" spans="1:13" x14ac:dyDescent="0.2">
      <c r="A205" t="s">
        <v>80</v>
      </c>
      <c r="B205">
        <v>23</v>
      </c>
      <c r="C205">
        <v>32.180805999999997</v>
      </c>
      <c r="D205">
        <v>1.399165</v>
      </c>
      <c r="E205">
        <v>1.107669</v>
      </c>
      <c r="F205">
        <v>0.230965</v>
      </c>
      <c r="G205">
        <v>9</v>
      </c>
      <c r="H205">
        <v>23</v>
      </c>
      <c r="I205">
        <v>32.180805999999997</v>
      </c>
      <c r="J205">
        <v>1.399165</v>
      </c>
      <c r="K205">
        <v>1.107669</v>
      </c>
      <c r="L205">
        <v>0.230965</v>
      </c>
      <c r="M205">
        <f>B205/G205</f>
        <v>2.5555555555555554</v>
      </c>
    </row>
    <row r="206" spans="1:13" x14ac:dyDescent="0.2">
      <c r="A206" t="s">
        <v>81</v>
      </c>
      <c r="B206">
        <v>37</v>
      </c>
      <c r="C206">
        <v>49.551350999999997</v>
      </c>
      <c r="D206">
        <v>1.339226</v>
      </c>
      <c r="E206">
        <v>1.3329359999999999</v>
      </c>
      <c r="F206">
        <v>0.21913299999999999</v>
      </c>
      <c r="G206">
        <v>11</v>
      </c>
      <c r="H206">
        <v>37</v>
      </c>
      <c r="I206">
        <v>49.551350999999997</v>
      </c>
      <c r="J206">
        <v>1.339226</v>
      </c>
      <c r="K206">
        <v>1.3329359999999999</v>
      </c>
      <c r="L206">
        <v>0.21913299999999999</v>
      </c>
      <c r="M206">
        <f>B206/G206</f>
        <v>3.3636363636363638</v>
      </c>
    </row>
    <row r="207" spans="1:13" x14ac:dyDescent="0.2">
      <c r="A207" t="s">
        <v>21</v>
      </c>
      <c r="B207">
        <v>28</v>
      </c>
      <c r="C207">
        <v>45.494284999999998</v>
      </c>
      <c r="D207">
        <v>1.6247959999999999</v>
      </c>
      <c r="E207">
        <v>1.686148</v>
      </c>
      <c r="F207">
        <v>0.31865199999999999</v>
      </c>
      <c r="G207">
        <v>12</v>
      </c>
      <c r="H207">
        <v>28</v>
      </c>
      <c r="I207">
        <v>45.494284999999998</v>
      </c>
      <c r="J207">
        <v>1.6247959999999999</v>
      </c>
      <c r="K207">
        <v>1.686148</v>
      </c>
      <c r="L207">
        <v>0.31865199999999999</v>
      </c>
      <c r="M207">
        <f>B207/G207</f>
        <v>2.3333333333333335</v>
      </c>
    </row>
    <row r="208" spans="1:13" x14ac:dyDescent="0.2">
      <c r="A208" t="s">
        <v>51</v>
      </c>
      <c r="B208">
        <f>AVERAGE(B202:B207)</f>
        <v>27.6</v>
      </c>
      <c r="C208">
        <f t="shared" ref="C208:L208" si="50">AVERAGE(C202:C207)</f>
        <v>39.901048200000005</v>
      </c>
      <c r="D208">
        <f t="shared" si="50"/>
        <v>1.4706620000000001</v>
      </c>
      <c r="E208">
        <f t="shared" si="50"/>
        <v>1.400109</v>
      </c>
      <c r="F208">
        <f t="shared" si="50"/>
        <v>0.27818579999999998</v>
      </c>
      <c r="G208">
        <f t="shared" si="50"/>
        <v>9.8000000000000007</v>
      </c>
      <c r="H208">
        <f t="shared" si="50"/>
        <v>27.8</v>
      </c>
      <c r="I208">
        <f t="shared" si="50"/>
        <v>40.452494000000002</v>
      </c>
      <c r="J208">
        <f t="shared" si="50"/>
        <v>1.4829677999999999</v>
      </c>
      <c r="K208">
        <f t="shared" si="50"/>
        <v>1.3933963999999999</v>
      </c>
      <c r="L208">
        <f t="shared" si="50"/>
        <v>0.27416979999999996</v>
      </c>
      <c r="M208">
        <f>AVERAGE(M202:M207)</f>
        <v>2.8088383838383839</v>
      </c>
    </row>
    <row r="209" spans="1:13" x14ac:dyDescent="0.2">
      <c r="A209" t="s">
        <v>52</v>
      </c>
      <c r="B209">
        <f>STDEV(B202:B207)</f>
        <v>7.9246451024635771</v>
      </c>
      <c r="C209">
        <f t="shared" ref="C209:L209" si="51">STDEV(C202:C207)</f>
        <v>9.2649152778972788</v>
      </c>
      <c r="D209">
        <f t="shared" si="51"/>
        <v>0.15424316020005555</v>
      </c>
      <c r="E209">
        <f t="shared" si="51"/>
        <v>0.32063993586498241</v>
      </c>
      <c r="F209">
        <f t="shared" si="51"/>
        <v>9.8394203389732329E-2</v>
      </c>
      <c r="G209">
        <f t="shared" si="51"/>
        <v>1.6431676725154991</v>
      </c>
      <c r="H209">
        <f t="shared" si="51"/>
        <v>7.5960516059331802</v>
      </c>
      <c r="I209">
        <f t="shared" si="51"/>
        <v>8.4269890892140662</v>
      </c>
      <c r="J209">
        <f t="shared" si="51"/>
        <v>0.17336739499023607</v>
      </c>
      <c r="K209">
        <f t="shared" si="51"/>
        <v>0.31087773956058651</v>
      </c>
      <c r="L209">
        <f t="shared" si="51"/>
        <v>9.0655660014695383E-2</v>
      </c>
      <c r="M209">
        <f>STDEV(M202:M207)</f>
        <v>0.67111145508355952</v>
      </c>
    </row>
    <row r="211" spans="1:13" x14ac:dyDescent="0.2">
      <c r="A211" t="s">
        <v>106</v>
      </c>
      <c r="B211" t="s">
        <v>0</v>
      </c>
      <c r="C211" t="s">
        <v>1</v>
      </c>
      <c r="D211" t="s">
        <v>2</v>
      </c>
      <c r="E211" t="s">
        <v>3</v>
      </c>
      <c r="F211" t="s">
        <v>4</v>
      </c>
      <c r="G211" t="s">
        <v>5</v>
      </c>
      <c r="H211" t="s">
        <v>6</v>
      </c>
      <c r="I211" t="s">
        <v>7</v>
      </c>
      <c r="J211" t="s">
        <v>8</v>
      </c>
      <c r="K211" t="s">
        <v>9</v>
      </c>
      <c r="L211" t="s">
        <v>10</v>
      </c>
      <c r="M211" t="s">
        <v>53</v>
      </c>
    </row>
    <row r="212" spans="1:13" x14ac:dyDescent="0.2">
      <c r="A212" t="s">
        <v>32</v>
      </c>
      <c r="B212">
        <v>49</v>
      </c>
      <c r="C212">
        <v>70.860794999999996</v>
      </c>
      <c r="D212">
        <v>1.4461390000000001</v>
      </c>
      <c r="E212">
        <v>1.167165</v>
      </c>
      <c r="F212">
        <v>0.166738</v>
      </c>
      <c r="G212">
        <v>10</v>
      </c>
      <c r="H212">
        <v>50</v>
      </c>
      <c r="I212">
        <v>70.939572999999996</v>
      </c>
      <c r="J212">
        <v>1.4187909999999999</v>
      </c>
      <c r="K212">
        <v>1.1712670000000001</v>
      </c>
      <c r="L212">
        <v>0.16564200000000001</v>
      </c>
      <c r="M212">
        <f>B212/G212</f>
        <v>4.9000000000000004</v>
      </c>
    </row>
    <row r="213" spans="1:13" x14ac:dyDescent="0.2">
      <c r="A213" t="s">
        <v>33</v>
      </c>
      <c r="B213">
        <v>44</v>
      </c>
      <c r="C213">
        <v>59.516765999999997</v>
      </c>
      <c r="D213">
        <v>1.352654</v>
      </c>
      <c r="E213">
        <v>1.2388779999999999</v>
      </c>
      <c r="F213">
        <v>0.18676799999999999</v>
      </c>
      <c r="G213">
        <v>13</v>
      </c>
      <c r="H213">
        <v>46</v>
      </c>
      <c r="I213">
        <v>59.910656000000003</v>
      </c>
      <c r="J213">
        <v>1.302406</v>
      </c>
      <c r="K213">
        <v>1.234367</v>
      </c>
      <c r="L213">
        <v>0.18199799999999999</v>
      </c>
      <c r="M213">
        <f>B213/G213</f>
        <v>3.3846153846153846</v>
      </c>
    </row>
    <row r="214" spans="1:13" x14ac:dyDescent="0.2">
      <c r="A214" t="s">
        <v>15</v>
      </c>
      <c r="B214">
        <v>36</v>
      </c>
      <c r="C214">
        <v>45.139783999999999</v>
      </c>
      <c r="D214">
        <v>1.2538830000000001</v>
      </c>
      <c r="E214">
        <v>1.072592</v>
      </c>
      <c r="F214">
        <v>0.17876500000000001</v>
      </c>
      <c r="G214">
        <v>9</v>
      </c>
      <c r="H214">
        <v>36</v>
      </c>
      <c r="I214">
        <v>45.139783999999999</v>
      </c>
      <c r="J214">
        <v>1.2538830000000001</v>
      </c>
      <c r="K214">
        <v>1.072592</v>
      </c>
      <c r="L214">
        <v>0.17876500000000001</v>
      </c>
      <c r="M214">
        <f>B214/G214</f>
        <v>4</v>
      </c>
    </row>
    <row r="215" spans="1:13" x14ac:dyDescent="0.2">
      <c r="A215" t="s">
        <v>16</v>
      </c>
      <c r="B215">
        <v>36</v>
      </c>
      <c r="C215">
        <v>57.507927000000002</v>
      </c>
      <c r="D215">
        <v>1.597442</v>
      </c>
      <c r="E215">
        <v>1.493949</v>
      </c>
      <c r="F215">
        <v>0.24899199999999999</v>
      </c>
      <c r="G215">
        <v>11</v>
      </c>
      <c r="H215">
        <v>36</v>
      </c>
      <c r="I215">
        <v>57.507927000000002</v>
      </c>
      <c r="J215">
        <v>1.597442</v>
      </c>
      <c r="K215">
        <v>1.493949</v>
      </c>
      <c r="L215">
        <v>0.24899199999999999</v>
      </c>
      <c r="M215">
        <f>B215/G215</f>
        <v>3.2727272727272729</v>
      </c>
    </row>
    <row r="216" spans="1:13" x14ac:dyDescent="0.2">
      <c r="A216" t="s">
        <v>17</v>
      </c>
      <c r="B216">
        <v>17</v>
      </c>
      <c r="C216">
        <v>24.578731000000001</v>
      </c>
      <c r="D216">
        <v>1.445808</v>
      </c>
      <c r="E216">
        <v>0.89091900000000002</v>
      </c>
      <c r="F216">
        <v>0.21607999999999999</v>
      </c>
      <c r="G216">
        <v>9</v>
      </c>
      <c r="H216">
        <v>20</v>
      </c>
      <c r="I216">
        <v>26.745125000000002</v>
      </c>
      <c r="J216">
        <v>1.337256</v>
      </c>
      <c r="K216">
        <v>0.86026599999999998</v>
      </c>
      <c r="L216">
        <v>0.192361</v>
      </c>
      <c r="M216">
        <f>B216/G216</f>
        <v>1.8888888888888888</v>
      </c>
    </row>
    <row r="217" spans="1:13" x14ac:dyDescent="0.2">
      <c r="A217" t="s">
        <v>51</v>
      </c>
      <c r="B217">
        <f>AVERAGE(B211:B216)</f>
        <v>36.4</v>
      </c>
      <c r="C217">
        <f t="shared" ref="C217:L217" si="52">AVERAGE(C211:C216)</f>
        <v>51.520800599999994</v>
      </c>
      <c r="D217">
        <f t="shared" si="52"/>
        <v>1.4191852</v>
      </c>
      <c r="E217">
        <f t="shared" si="52"/>
        <v>1.1727006</v>
      </c>
      <c r="F217">
        <f t="shared" si="52"/>
        <v>0.19946859999999997</v>
      </c>
      <c r="G217">
        <f t="shared" si="52"/>
        <v>10.4</v>
      </c>
      <c r="H217">
        <f t="shared" si="52"/>
        <v>37.6</v>
      </c>
      <c r="I217">
        <f t="shared" si="52"/>
        <v>52.048613000000003</v>
      </c>
      <c r="J217">
        <f t="shared" si="52"/>
        <v>1.3819556</v>
      </c>
      <c r="K217">
        <f t="shared" si="52"/>
        <v>1.1664882000000001</v>
      </c>
      <c r="L217">
        <f t="shared" si="52"/>
        <v>0.19355159999999999</v>
      </c>
      <c r="M217">
        <f>AVERAGE(M211:M216)</f>
        <v>3.4892463092463095</v>
      </c>
    </row>
    <row r="218" spans="1:13" x14ac:dyDescent="0.2">
      <c r="A218" t="s">
        <v>52</v>
      </c>
      <c r="B218">
        <f>STDEV(B211:B216)</f>
        <v>12.177848742696714</v>
      </c>
      <c r="C218">
        <f t="shared" ref="C218:L218" si="53">STDEV(C211:C216)</f>
        <v>17.609720439151822</v>
      </c>
      <c r="D218">
        <f t="shared" si="53"/>
        <v>0.12743820606356634</v>
      </c>
      <c r="E218">
        <f t="shared" si="53"/>
        <v>0.22194212507611108</v>
      </c>
      <c r="F218">
        <f t="shared" si="53"/>
        <v>3.3127564909000019E-2</v>
      </c>
      <c r="G218">
        <f t="shared" si="53"/>
        <v>1.6733200530681545</v>
      </c>
      <c r="H218">
        <f t="shared" si="53"/>
        <v>11.610340218959992</v>
      </c>
      <c r="I218">
        <f t="shared" si="53"/>
        <v>16.855878961978163</v>
      </c>
      <c r="J218">
        <f t="shared" si="53"/>
        <v>0.13464770630166709</v>
      </c>
      <c r="K218">
        <f t="shared" si="53"/>
        <v>0.23154344954176526</v>
      </c>
      <c r="L218">
        <f t="shared" si="53"/>
        <v>3.2427343651616071E-2</v>
      </c>
      <c r="M218">
        <f>STDEV(M211:M216)</f>
        <v>1.1034114492168128</v>
      </c>
    </row>
    <row r="220" spans="1:13" x14ac:dyDescent="0.2">
      <c r="A220" t="s">
        <v>103</v>
      </c>
      <c r="B220" t="s">
        <v>0</v>
      </c>
      <c r="C220" t="s">
        <v>1</v>
      </c>
      <c r="D220" t="s">
        <v>2</v>
      </c>
      <c r="E220" t="s">
        <v>3</v>
      </c>
      <c r="F220" t="s">
        <v>4</v>
      </c>
      <c r="G220" t="s">
        <v>5</v>
      </c>
      <c r="H220" t="s">
        <v>6</v>
      </c>
      <c r="I220" t="s">
        <v>7</v>
      </c>
      <c r="J220" t="s">
        <v>8</v>
      </c>
      <c r="K220" t="s">
        <v>9</v>
      </c>
      <c r="L220" t="s">
        <v>10</v>
      </c>
      <c r="M220" t="s">
        <v>53</v>
      </c>
    </row>
    <row r="221" spans="1:13" x14ac:dyDescent="0.2">
      <c r="A221" t="s">
        <v>20</v>
      </c>
      <c r="B221">
        <v>28</v>
      </c>
      <c r="C221">
        <v>45.061005999999999</v>
      </c>
      <c r="D221">
        <v>1.6093219999999999</v>
      </c>
      <c r="E221">
        <v>1.122655</v>
      </c>
      <c r="F221">
        <v>0.21216199999999999</v>
      </c>
      <c r="G221">
        <v>11</v>
      </c>
      <c r="H221">
        <v>28</v>
      </c>
      <c r="I221">
        <v>45.061005999999999</v>
      </c>
      <c r="J221">
        <v>1.6093219999999999</v>
      </c>
      <c r="K221">
        <v>1.122655</v>
      </c>
      <c r="L221">
        <v>0.21216199999999999</v>
      </c>
      <c r="M221">
        <f t="shared" ref="M221:M226" si="54">B221/G221</f>
        <v>2.5454545454545454</v>
      </c>
    </row>
    <row r="222" spans="1:13" x14ac:dyDescent="0.2">
      <c r="A222" t="s">
        <v>77</v>
      </c>
      <c r="B222">
        <v>27</v>
      </c>
      <c r="C222">
        <v>38.286099999999998</v>
      </c>
      <c r="D222">
        <v>1.418004</v>
      </c>
      <c r="E222">
        <v>1.1112470000000001</v>
      </c>
      <c r="F222">
        <v>0.21385899999999999</v>
      </c>
      <c r="G222">
        <v>8</v>
      </c>
      <c r="H222">
        <v>28</v>
      </c>
      <c r="I222">
        <v>39.428379999999997</v>
      </c>
      <c r="J222">
        <v>1.408156</v>
      </c>
      <c r="K222">
        <v>1.091718</v>
      </c>
      <c r="L222">
        <v>0.206315</v>
      </c>
      <c r="M222">
        <f t="shared" si="54"/>
        <v>3.375</v>
      </c>
    </row>
    <row r="223" spans="1:13" x14ac:dyDescent="0.2">
      <c r="A223" t="s">
        <v>40</v>
      </c>
      <c r="B223">
        <v>38</v>
      </c>
      <c r="C223">
        <v>34.938034999999999</v>
      </c>
      <c r="D223">
        <v>0.91942199999999996</v>
      </c>
      <c r="E223">
        <v>0.76604399999999995</v>
      </c>
      <c r="F223">
        <v>0.124269</v>
      </c>
      <c r="G223">
        <v>10</v>
      </c>
      <c r="H223">
        <v>42</v>
      </c>
      <c r="I223">
        <v>38.207321999999998</v>
      </c>
      <c r="J223">
        <v>0.90969800000000001</v>
      </c>
      <c r="K223">
        <v>0.746533</v>
      </c>
      <c r="L223">
        <v>0.115193</v>
      </c>
      <c r="M223">
        <f t="shared" si="54"/>
        <v>3.8</v>
      </c>
    </row>
    <row r="224" spans="1:13" x14ac:dyDescent="0.2">
      <c r="A224" t="s">
        <v>41</v>
      </c>
      <c r="B224">
        <v>42</v>
      </c>
      <c r="C224">
        <v>69.245846999999998</v>
      </c>
      <c r="D224">
        <v>1.648711</v>
      </c>
      <c r="E224">
        <v>1.4230799999999999</v>
      </c>
      <c r="F224">
        <v>0.219586</v>
      </c>
      <c r="G224">
        <v>9</v>
      </c>
      <c r="H224">
        <v>45</v>
      </c>
      <c r="I224">
        <v>71.451629999999994</v>
      </c>
      <c r="J224">
        <v>1.5878140000000001</v>
      </c>
      <c r="K224">
        <v>1.394226</v>
      </c>
      <c r="L224">
        <v>0.207839</v>
      </c>
      <c r="M224">
        <f t="shared" si="54"/>
        <v>4.666666666666667</v>
      </c>
    </row>
    <row r="225" spans="1:13" x14ac:dyDescent="0.2">
      <c r="A225" t="s">
        <v>42</v>
      </c>
      <c r="B225">
        <v>37</v>
      </c>
      <c r="C225">
        <v>51.875301999999998</v>
      </c>
      <c r="D225">
        <v>1.4020349999999999</v>
      </c>
      <c r="E225">
        <v>1.434456</v>
      </c>
      <c r="F225">
        <v>0.235823</v>
      </c>
      <c r="G225">
        <v>10</v>
      </c>
      <c r="H225">
        <v>37</v>
      </c>
      <c r="I225">
        <v>51.875301999999998</v>
      </c>
      <c r="J225">
        <v>1.4020349999999999</v>
      </c>
      <c r="K225">
        <v>1.434456</v>
      </c>
      <c r="L225">
        <v>0.235823</v>
      </c>
      <c r="M225">
        <f t="shared" si="54"/>
        <v>3.7</v>
      </c>
    </row>
    <row r="226" spans="1:13" x14ac:dyDescent="0.2">
      <c r="A226" t="s">
        <v>31</v>
      </c>
      <c r="B226">
        <v>13</v>
      </c>
      <c r="C226">
        <v>18.276492000000001</v>
      </c>
      <c r="D226">
        <v>1.4058839999999999</v>
      </c>
      <c r="E226">
        <v>1.1630750000000001</v>
      </c>
      <c r="F226">
        <v>0.322579</v>
      </c>
      <c r="G226">
        <v>8</v>
      </c>
      <c r="H226">
        <v>13</v>
      </c>
      <c r="I226">
        <v>18.276492000000001</v>
      </c>
      <c r="J226">
        <v>1.4058839999999999</v>
      </c>
      <c r="K226">
        <v>1.1630750000000001</v>
      </c>
      <c r="L226">
        <v>0.322579</v>
      </c>
      <c r="M226">
        <f t="shared" si="54"/>
        <v>1.625</v>
      </c>
    </row>
    <row r="227" spans="1:13" x14ac:dyDescent="0.2">
      <c r="A227" t="s">
        <v>51</v>
      </c>
      <c r="B227">
        <f>AVERAGE(B221:B226)</f>
        <v>30.833333333333332</v>
      </c>
      <c r="C227">
        <f t="shared" ref="C227:L227" si="55">AVERAGE(C221:C226)</f>
        <v>42.947130333333327</v>
      </c>
      <c r="D227">
        <f t="shared" si="55"/>
        <v>1.400563</v>
      </c>
      <c r="E227">
        <f t="shared" si="55"/>
        <v>1.1700928333333334</v>
      </c>
      <c r="F227">
        <f t="shared" si="55"/>
        <v>0.22137966666666664</v>
      </c>
      <c r="G227">
        <f t="shared" si="55"/>
        <v>9.3333333333333339</v>
      </c>
      <c r="H227">
        <f t="shared" si="55"/>
        <v>32.166666666666664</v>
      </c>
      <c r="I227">
        <f t="shared" si="55"/>
        <v>44.050022000000006</v>
      </c>
      <c r="J227">
        <f t="shared" si="55"/>
        <v>1.3871514999999999</v>
      </c>
      <c r="K227">
        <f t="shared" si="55"/>
        <v>1.1587771666666666</v>
      </c>
      <c r="L227">
        <f t="shared" si="55"/>
        <v>0.21665183333333335</v>
      </c>
      <c r="M227">
        <f>AVERAGE(M221:M226)</f>
        <v>3.285353535353535</v>
      </c>
    </row>
    <row r="228" spans="1:13" x14ac:dyDescent="0.2">
      <c r="A228" t="s">
        <v>52</v>
      </c>
      <c r="B228">
        <f>STDEV(B221:B226)</f>
        <v>10.534071704078467</v>
      </c>
      <c r="C228">
        <f t="shared" ref="C228:L228" si="56">STDEV(C221:C226)</f>
        <v>17.148261868527779</v>
      </c>
      <c r="D228">
        <f t="shared" si="56"/>
        <v>0.25961089352028344</v>
      </c>
      <c r="E228">
        <f t="shared" si="56"/>
        <v>0.24613341106921344</v>
      </c>
      <c r="F228">
        <f t="shared" si="56"/>
        <v>6.3285289872660605E-2</v>
      </c>
      <c r="G228">
        <f t="shared" si="56"/>
        <v>1.2110601416389999</v>
      </c>
      <c r="H228">
        <f t="shared" si="56"/>
        <v>11.720352668186509</v>
      </c>
      <c r="I228">
        <f t="shared" si="56"/>
        <v>17.509293437711197</v>
      </c>
      <c r="J228">
        <f t="shared" si="56"/>
        <v>0.25242845671100639</v>
      </c>
      <c r="K228">
        <f t="shared" si="56"/>
        <v>0.24787111140543763</v>
      </c>
      <c r="L228">
        <f t="shared" si="56"/>
        <v>6.6463024139491719E-2</v>
      </c>
      <c r="M228">
        <f>STDEV(M221:M226)</f>
        <v>1.0636803567983344</v>
      </c>
    </row>
    <row r="230" spans="1:13" x14ac:dyDescent="0.2">
      <c r="A230" t="s">
        <v>99</v>
      </c>
      <c r="B230" t="s">
        <v>0</v>
      </c>
      <c r="C230" t="s">
        <v>1</v>
      </c>
      <c r="D230" t="s">
        <v>2</v>
      </c>
      <c r="E230" t="s">
        <v>3</v>
      </c>
      <c r="F230" t="s">
        <v>4</v>
      </c>
      <c r="G230" t="s">
        <v>5</v>
      </c>
      <c r="H230" t="s">
        <v>6</v>
      </c>
      <c r="I230" t="s">
        <v>7</v>
      </c>
      <c r="J230" t="s">
        <v>8</v>
      </c>
      <c r="K230" t="s">
        <v>9</v>
      </c>
      <c r="L230" t="s">
        <v>10</v>
      </c>
      <c r="M230" t="s">
        <v>53</v>
      </c>
    </row>
    <row r="231" spans="1:13" x14ac:dyDescent="0.2">
      <c r="A231" t="s">
        <v>75</v>
      </c>
      <c r="B231">
        <v>75</v>
      </c>
      <c r="C231">
        <v>97.566530999999998</v>
      </c>
      <c r="D231">
        <v>1.3008869999999999</v>
      </c>
      <c r="E231">
        <v>1.211093</v>
      </c>
      <c r="F231">
        <v>0.139845</v>
      </c>
      <c r="G231">
        <v>10</v>
      </c>
      <c r="H231">
        <v>77</v>
      </c>
      <c r="I231">
        <v>99.575370000000007</v>
      </c>
      <c r="J231">
        <v>1.2931870000000001</v>
      </c>
      <c r="K231">
        <v>1.202467</v>
      </c>
      <c r="L231">
        <v>0.13703399999999999</v>
      </c>
    </row>
    <row r="232" spans="1:13" x14ac:dyDescent="0.2">
      <c r="A232" t="s">
        <v>25</v>
      </c>
      <c r="B232">
        <v>47</v>
      </c>
      <c r="C232">
        <v>41.122107</v>
      </c>
      <c r="D232">
        <v>0.87493799999999999</v>
      </c>
      <c r="E232">
        <v>0.87603900000000001</v>
      </c>
      <c r="F232">
        <v>0.12778300000000001</v>
      </c>
      <c r="G232">
        <v>16</v>
      </c>
      <c r="H232">
        <v>47</v>
      </c>
      <c r="I232">
        <v>41.122107</v>
      </c>
      <c r="J232">
        <v>0.87493799999999999</v>
      </c>
      <c r="K232">
        <v>0.87603900000000001</v>
      </c>
      <c r="L232">
        <v>0.12778300000000001</v>
      </c>
      <c r="M232">
        <f>B232/G232</f>
        <v>2.9375</v>
      </c>
    </row>
    <row r="233" spans="1:13" x14ac:dyDescent="0.2">
      <c r="A233" t="s">
        <v>26</v>
      </c>
      <c r="B233">
        <v>21</v>
      </c>
      <c r="C233">
        <v>23.515228</v>
      </c>
      <c r="D233">
        <v>1.1197729999999999</v>
      </c>
      <c r="E233">
        <v>0.69044000000000005</v>
      </c>
      <c r="F233">
        <v>0.15066599999999999</v>
      </c>
      <c r="G233">
        <v>5</v>
      </c>
      <c r="H233">
        <v>27</v>
      </c>
      <c r="I233">
        <v>32.377751000000004</v>
      </c>
      <c r="J233">
        <v>1.199176</v>
      </c>
      <c r="K233">
        <v>0.86967399999999995</v>
      </c>
      <c r="L233">
        <v>0.16736899999999999</v>
      </c>
      <c r="M233">
        <f>B233/G233</f>
        <v>4.2</v>
      </c>
    </row>
    <row r="234" spans="1:13" x14ac:dyDescent="0.2">
      <c r="A234" t="s">
        <v>27</v>
      </c>
      <c r="B234">
        <v>30</v>
      </c>
      <c r="C234">
        <v>46.557788000000002</v>
      </c>
      <c r="D234">
        <v>1.5519259999999999</v>
      </c>
      <c r="E234">
        <v>1.5524560000000001</v>
      </c>
      <c r="F234">
        <v>0.28343800000000002</v>
      </c>
      <c r="G234">
        <v>7</v>
      </c>
      <c r="H234">
        <v>34</v>
      </c>
      <c r="I234">
        <v>52.544913999999999</v>
      </c>
      <c r="J234">
        <v>1.545439</v>
      </c>
      <c r="K234">
        <v>1.494237</v>
      </c>
      <c r="L234">
        <v>0.25625999999999999</v>
      </c>
      <c r="M234">
        <f>B234/G234</f>
        <v>4.2857142857142856</v>
      </c>
    </row>
    <row r="235" spans="1:13" x14ac:dyDescent="0.2">
      <c r="A235" t="s">
        <v>18</v>
      </c>
      <c r="B235">
        <v>30</v>
      </c>
      <c r="C235">
        <v>36.749929000000002</v>
      </c>
      <c r="D235">
        <v>1.224998</v>
      </c>
      <c r="E235">
        <v>1.0758490000000001</v>
      </c>
      <c r="F235">
        <v>0.19642200000000001</v>
      </c>
      <c r="G235">
        <v>9</v>
      </c>
      <c r="H235">
        <v>30</v>
      </c>
      <c r="I235">
        <v>36.749929000000002</v>
      </c>
      <c r="J235">
        <v>1.224998</v>
      </c>
      <c r="K235">
        <v>1.0758490000000001</v>
      </c>
      <c r="L235">
        <v>0.19642200000000001</v>
      </c>
      <c r="M235">
        <f>B235/G235</f>
        <v>3.3333333333333335</v>
      </c>
    </row>
    <row r="236" spans="1:13" x14ac:dyDescent="0.2">
      <c r="A236" t="s">
        <v>19</v>
      </c>
      <c r="B236">
        <v>43</v>
      </c>
      <c r="C236">
        <v>47.424346</v>
      </c>
      <c r="D236">
        <v>1.102892</v>
      </c>
      <c r="E236">
        <v>0.969337</v>
      </c>
      <c r="F236">
        <v>0.14782200000000001</v>
      </c>
      <c r="G236">
        <v>7</v>
      </c>
      <c r="H236">
        <v>51</v>
      </c>
      <c r="I236">
        <v>55.932367999999997</v>
      </c>
      <c r="J236">
        <v>1.096713</v>
      </c>
      <c r="K236">
        <v>1.0806480000000001</v>
      </c>
      <c r="L236">
        <v>0.15132100000000001</v>
      </c>
    </row>
    <row r="237" spans="1:13" x14ac:dyDescent="0.2">
      <c r="A237" t="s">
        <v>51</v>
      </c>
      <c r="B237">
        <f>AVERAGE(B231:B236)</f>
        <v>41</v>
      </c>
      <c r="C237">
        <f t="shared" ref="C237:L237" si="57">AVERAGE(C231:C236)</f>
        <v>48.822654833333338</v>
      </c>
      <c r="D237">
        <f t="shared" si="57"/>
        <v>1.1959023333333334</v>
      </c>
      <c r="E237">
        <f t="shared" si="57"/>
        <v>1.0625356666666668</v>
      </c>
      <c r="F237">
        <f t="shared" si="57"/>
        <v>0.17432933333333334</v>
      </c>
      <c r="G237">
        <f t="shared" si="57"/>
        <v>9</v>
      </c>
      <c r="H237">
        <f t="shared" si="57"/>
        <v>44.333333333333336</v>
      </c>
      <c r="I237">
        <f t="shared" si="57"/>
        <v>53.050406500000001</v>
      </c>
      <c r="J237">
        <f t="shared" si="57"/>
        <v>1.2057418333333334</v>
      </c>
      <c r="K237">
        <f t="shared" si="57"/>
        <v>1.0998189999999999</v>
      </c>
      <c r="L237">
        <f t="shared" si="57"/>
        <v>0.17269816666666662</v>
      </c>
      <c r="M237">
        <f>AVERAGE(M231:M236)</f>
        <v>3.6891369047619049</v>
      </c>
    </row>
    <row r="238" spans="1:13" x14ac:dyDescent="0.2">
      <c r="A238" t="s">
        <v>52</v>
      </c>
      <c r="B238">
        <f>STDEV(B231:B236)</f>
        <v>19.172897537930986</v>
      </c>
      <c r="C238">
        <f t="shared" ref="C238:L238" si="58">STDEV(C231:C236)</f>
        <v>25.410884880390345</v>
      </c>
      <c r="D238">
        <f t="shared" si="58"/>
        <v>0.22631212519585994</v>
      </c>
      <c r="E238">
        <f t="shared" si="58"/>
        <v>0.2980572570642534</v>
      </c>
      <c r="F238">
        <f t="shared" si="58"/>
        <v>5.8328568505207332E-2</v>
      </c>
      <c r="G238">
        <f t="shared" si="58"/>
        <v>3.8470768123342691</v>
      </c>
      <c r="H238">
        <f t="shared" si="58"/>
        <v>18.608241901551764</v>
      </c>
      <c r="I238">
        <f t="shared" si="58"/>
        <v>24.529500747233964</v>
      </c>
      <c r="J238">
        <f t="shared" si="58"/>
        <v>0.22125695242538057</v>
      </c>
      <c r="K238">
        <f t="shared" si="58"/>
        <v>0.23241706830351352</v>
      </c>
      <c r="L238">
        <f t="shared" si="58"/>
        <v>4.7581695032508843E-2</v>
      </c>
      <c r="M238">
        <f>STDEV(M231:M236)</f>
        <v>0.66041398420022246</v>
      </c>
    </row>
    <row r="240" spans="1:13" x14ac:dyDescent="0.2">
      <c r="A240" t="s">
        <v>95</v>
      </c>
      <c r="B240" t="s">
        <v>0</v>
      </c>
      <c r="C240" t="s">
        <v>1</v>
      </c>
      <c r="D240" t="s">
        <v>2</v>
      </c>
      <c r="E240" t="s">
        <v>3</v>
      </c>
      <c r="F240" t="s">
        <v>4</v>
      </c>
      <c r="G240" t="s">
        <v>5</v>
      </c>
      <c r="H240" t="s">
        <v>6</v>
      </c>
      <c r="I240" t="s">
        <v>7</v>
      </c>
      <c r="J240" t="s">
        <v>8</v>
      </c>
      <c r="K240" t="s">
        <v>9</v>
      </c>
      <c r="L240" t="s">
        <v>10</v>
      </c>
      <c r="M240" t="s">
        <v>53</v>
      </c>
    </row>
    <row r="241" spans="1:13" x14ac:dyDescent="0.2">
      <c r="A241" t="s">
        <v>113</v>
      </c>
      <c r="B241">
        <v>18</v>
      </c>
      <c r="C241">
        <v>20.088386</v>
      </c>
      <c r="D241">
        <v>1.1160209999999999</v>
      </c>
      <c r="E241">
        <v>0.93563200000000002</v>
      </c>
      <c r="F241">
        <v>0.220531</v>
      </c>
      <c r="G241">
        <v>8</v>
      </c>
      <c r="H241">
        <v>18</v>
      </c>
      <c r="I241">
        <v>20.088386</v>
      </c>
      <c r="J241">
        <v>1.1160209999999999</v>
      </c>
      <c r="K241">
        <v>0.93563200000000002</v>
      </c>
      <c r="L241">
        <v>0.220531</v>
      </c>
      <c r="M241">
        <f t="shared" ref="M241:M246" si="59">B241/G241</f>
        <v>2.25</v>
      </c>
    </row>
    <row r="242" spans="1:13" x14ac:dyDescent="0.2">
      <c r="A242" t="s">
        <v>47</v>
      </c>
      <c r="B242">
        <v>23</v>
      </c>
      <c r="C242">
        <v>17.291767</v>
      </c>
      <c r="D242">
        <v>0.75181600000000004</v>
      </c>
      <c r="E242">
        <v>0.85779899999999998</v>
      </c>
      <c r="F242">
        <v>0.17886299999999999</v>
      </c>
      <c r="G242">
        <v>8</v>
      </c>
      <c r="H242">
        <v>23</v>
      </c>
      <c r="I242">
        <v>17.291767</v>
      </c>
      <c r="J242">
        <v>0.75181600000000004</v>
      </c>
      <c r="K242">
        <v>0.85779899999999998</v>
      </c>
      <c r="L242">
        <v>0.17886299999999999</v>
      </c>
      <c r="M242">
        <f t="shared" si="59"/>
        <v>2.875</v>
      </c>
    </row>
    <row r="243" spans="1:13" x14ac:dyDescent="0.2">
      <c r="A243" t="s">
        <v>48</v>
      </c>
      <c r="B243">
        <v>30</v>
      </c>
      <c r="C243">
        <v>30.014410999999999</v>
      </c>
      <c r="D243">
        <v>1.00048</v>
      </c>
      <c r="E243">
        <v>0.96851500000000001</v>
      </c>
      <c r="F243">
        <v>0.17682600000000001</v>
      </c>
      <c r="G243">
        <v>7</v>
      </c>
      <c r="H243">
        <v>31</v>
      </c>
      <c r="I243">
        <v>54.514364</v>
      </c>
      <c r="J243">
        <v>1.7585280000000001</v>
      </c>
      <c r="K243">
        <v>4.3267160000000002</v>
      </c>
      <c r="L243">
        <v>0.77710100000000004</v>
      </c>
      <c r="M243">
        <f t="shared" si="59"/>
        <v>4.2857142857142856</v>
      </c>
    </row>
    <row r="244" spans="1:13" x14ac:dyDescent="0.2">
      <c r="A244" t="s">
        <v>67</v>
      </c>
      <c r="B244">
        <v>1</v>
      </c>
      <c r="C244">
        <v>0.157556</v>
      </c>
      <c r="D244">
        <v>0.157556</v>
      </c>
      <c r="E244">
        <v>0</v>
      </c>
      <c r="F244">
        <v>0</v>
      </c>
      <c r="G244">
        <v>7</v>
      </c>
      <c r="H244">
        <v>1</v>
      </c>
      <c r="I244">
        <v>0.157556</v>
      </c>
      <c r="J244">
        <v>0.157556</v>
      </c>
      <c r="K244">
        <v>0</v>
      </c>
      <c r="L244">
        <v>0</v>
      </c>
      <c r="M244">
        <f t="shared" si="59"/>
        <v>0.14285714285714285</v>
      </c>
    </row>
    <row r="245" spans="1:13" x14ac:dyDescent="0.2">
      <c r="A245" t="s">
        <v>49</v>
      </c>
      <c r="B245">
        <v>8</v>
      </c>
      <c r="C245">
        <v>4.0176769999999999</v>
      </c>
      <c r="D245">
        <v>0.50221000000000005</v>
      </c>
      <c r="E245">
        <v>0.46736299999999997</v>
      </c>
      <c r="F245">
        <v>0.165238</v>
      </c>
      <c r="G245">
        <v>4</v>
      </c>
      <c r="H245">
        <v>8</v>
      </c>
      <c r="I245">
        <v>4.0176769999999999</v>
      </c>
      <c r="J245">
        <v>0.50221000000000005</v>
      </c>
      <c r="K245">
        <v>0.46736299999999997</v>
      </c>
      <c r="L245">
        <v>0.165238</v>
      </c>
      <c r="M245">
        <f t="shared" si="59"/>
        <v>2</v>
      </c>
    </row>
    <row r="246" spans="1:13" x14ac:dyDescent="0.2">
      <c r="A246" t="s">
        <v>36</v>
      </c>
      <c r="B246">
        <v>8</v>
      </c>
      <c r="C246">
        <v>3.7813430000000001</v>
      </c>
      <c r="D246">
        <v>0.47266799999999998</v>
      </c>
      <c r="E246">
        <v>0.39725199999999999</v>
      </c>
      <c r="F246">
        <v>0.14044999999999999</v>
      </c>
      <c r="G246">
        <v>5</v>
      </c>
      <c r="H246">
        <v>8</v>
      </c>
      <c r="I246">
        <v>3.7813430000000001</v>
      </c>
      <c r="J246">
        <v>0.47266799999999998</v>
      </c>
      <c r="K246">
        <v>0.39725199999999999</v>
      </c>
      <c r="L246">
        <v>0.14044999999999999</v>
      </c>
      <c r="M246">
        <f t="shared" si="59"/>
        <v>1.6</v>
      </c>
    </row>
    <row r="247" spans="1:13" x14ac:dyDescent="0.2">
      <c r="A247" t="s">
        <v>51</v>
      </c>
      <c r="B247">
        <f>AVERAGE(B241:B246)</f>
        <v>14.666666666666666</v>
      </c>
      <c r="C247">
        <f t="shared" ref="C247:L247" si="60">AVERAGE(C241:C246)</f>
        <v>12.558523333333335</v>
      </c>
      <c r="D247">
        <f t="shared" si="60"/>
        <v>0.66679183333333336</v>
      </c>
      <c r="E247">
        <f t="shared" si="60"/>
        <v>0.60442683333333325</v>
      </c>
      <c r="F247">
        <f t="shared" si="60"/>
        <v>0.14698466666666668</v>
      </c>
      <c r="G247">
        <f t="shared" si="60"/>
        <v>6.5</v>
      </c>
      <c r="H247">
        <f t="shared" si="60"/>
        <v>14.833333333333334</v>
      </c>
      <c r="I247">
        <f t="shared" si="60"/>
        <v>16.641848833333338</v>
      </c>
      <c r="J247">
        <f t="shared" si="60"/>
        <v>0.79313316666666667</v>
      </c>
      <c r="K247">
        <f t="shared" si="60"/>
        <v>1.1641269999999999</v>
      </c>
      <c r="L247">
        <f t="shared" si="60"/>
        <v>0.24703050000000001</v>
      </c>
      <c r="M247">
        <f>AVERAGE(M241:M246)</f>
        <v>2.1922619047619043</v>
      </c>
    </row>
    <row r="248" spans="1:13" x14ac:dyDescent="0.2">
      <c r="A248" t="s">
        <v>52</v>
      </c>
      <c r="B248">
        <f>STDEV(B241:B246)</f>
        <v>10.875047892614848</v>
      </c>
      <c r="C248">
        <f t="shared" ref="C248:L248" si="61">STDEV(C241:C246)</f>
        <v>11.726716361488863</v>
      </c>
      <c r="D248">
        <f t="shared" si="61"/>
        <v>0.35901981063914373</v>
      </c>
      <c r="E248">
        <f t="shared" si="61"/>
        <v>0.38301284918468037</v>
      </c>
      <c r="F248">
        <f t="shared" si="61"/>
        <v>7.6545639639803584E-2</v>
      </c>
      <c r="G248">
        <f t="shared" si="61"/>
        <v>1.6431676725154984</v>
      </c>
      <c r="H248">
        <f t="shared" si="61"/>
        <v>11.16094380716374</v>
      </c>
      <c r="I248">
        <f t="shared" si="61"/>
        <v>20.214463396765129</v>
      </c>
      <c r="J248">
        <f t="shared" si="61"/>
        <v>0.5708315674769282</v>
      </c>
      <c r="K248">
        <f t="shared" si="61"/>
        <v>1.5859877049321665</v>
      </c>
      <c r="L248">
        <f t="shared" si="61"/>
        <v>0.27033211074287866</v>
      </c>
      <c r="M248">
        <f>STDEV(M241:M246)</f>
        <v>1.3740310438719394</v>
      </c>
    </row>
    <row r="250" spans="1:13" x14ac:dyDescent="0.2">
      <c r="A250" t="s">
        <v>97</v>
      </c>
      <c r="B250" t="s">
        <v>0</v>
      </c>
      <c r="C250" t="s">
        <v>1</v>
      </c>
      <c r="D250" t="s">
        <v>2</v>
      </c>
      <c r="E250" t="s">
        <v>3</v>
      </c>
      <c r="F250" t="s">
        <v>4</v>
      </c>
      <c r="G250" t="s">
        <v>5</v>
      </c>
      <c r="H250" t="s">
        <v>6</v>
      </c>
      <c r="I250" t="s">
        <v>7</v>
      </c>
      <c r="J250" t="s">
        <v>8</v>
      </c>
      <c r="K250" t="s">
        <v>9</v>
      </c>
      <c r="L250" t="s">
        <v>10</v>
      </c>
      <c r="M250" t="s">
        <v>53</v>
      </c>
    </row>
    <row r="251" spans="1:13" x14ac:dyDescent="0.2">
      <c r="A251" t="s">
        <v>37</v>
      </c>
      <c r="B251">
        <v>10</v>
      </c>
      <c r="C251">
        <v>6.4991839999999996</v>
      </c>
      <c r="D251">
        <v>0.649918</v>
      </c>
      <c r="E251">
        <v>0.63247600000000004</v>
      </c>
      <c r="F251">
        <v>0.20000699999999999</v>
      </c>
      <c r="G251">
        <v>9</v>
      </c>
      <c r="H251">
        <v>10</v>
      </c>
      <c r="I251">
        <v>6.4991839999999996</v>
      </c>
      <c r="J251">
        <v>0.649918</v>
      </c>
      <c r="K251">
        <v>0.63247600000000004</v>
      </c>
      <c r="L251">
        <v>0.20000699999999999</v>
      </c>
      <c r="M251">
        <f>B251/G251</f>
        <v>1.1111111111111112</v>
      </c>
    </row>
    <row r="252" spans="1:13" x14ac:dyDescent="0.2">
      <c r="A252" t="s">
        <v>38</v>
      </c>
      <c r="B252">
        <v>6</v>
      </c>
      <c r="C252">
        <v>5.8689600000000004</v>
      </c>
      <c r="D252">
        <v>0.97816000000000003</v>
      </c>
      <c r="E252">
        <v>0.6593</v>
      </c>
      <c r="F252">
        <v>0.26915800000000001</v>
      </c>
      <c r="G252">
        <v>7</v>
      </c>
      <c r="H252">
        <v>6</v>
      </c>
      <c r="I252">
        <v>5.8689600000000004</v>
      </c>
      <c r="J252">
        <v>0.97816000000000003</v>
      </c>
      <c r="K252">
        <v>0.6593</v>
      </c>
      <c r="L252">
        <v>0.26915800000000001</v>
      </c>
      <c r="M252">
        <f>B252/G252</f>
        <v>0.8571428571428571</v>
      </c>
    </row>
    <row r="253" spans="1:13" x14ac:dyDescent="0.2">
      <c r="A253" t="s">
        <v>39</v>
      </c>
      <c r="B253">
        <v>16</v>
      </c>
      <c r="C253">
        <v>14.219426</v>
      </c>
      <c r="D253">
        <v>0.888714</v>
      </c>
      <c r="E253">
        <v>0.80466300000000002</v>
      </c>
      <c r="F253">
        <v>0.20116600000000001</v>
      </c>
      <c r="G253">
        <v>5</v>
      </c>
      <c r="H253">
        <v>16</v>
      </c>
      <c r="I253">
        <v>14.219426</v>
      </c>
      <c r="J253">
        <v>0.888714</v>
      </c>
      <c r="K253">
        <v>0.80466300000000002</v>
      </c>
      <c r="L253">
        <v>0.20116600000000001</v>
      </c>
      <c r="M253">
        <f>B253/G253</f>
        <v>3.2</v>
      </c>
    </row>
    <row r="254" spans="1:13" x14ac:dyDescent="0.2">
      <c r="A254" t="s">
        <v>28</v>
      </c>
      <c r="B254">
        <v>1</v>
      </c>
      <c r="C254">
        <v>0.47266799999999998</v>
      </c>
      <c r="D254">
        <v>0.47266799999999998</v>
      </c>
      <c r="E254">
        <v>0</v>
      </c>
      <c r="F254">
        <v>0</v>
      </c>
      <c r="G254">
        <v>4</v>
      </c>
      <c r="H254">
        <v>1</v>
      </c>
      <c r="I254">
        <v>0.47266799999999998</v>
      </c>
      <c r="J254">
        <v>0.47266799999999998</v>
      </c>
      <c r="K254">
        <v>0</v>
      </c>
      <c r="L254">
        <v>0</v>
      </c>
      <c r="M254">
        <f>B254/G254</f>
        <v>0.25</v>
      </c>
    </row>
    <row r="255" spans="1:13" x14ac:dyDescent="0.2">
      <c r="A255" t="s">
        <v>29</v>
      </c>
      <c r="B255">
        <v>3</v>
      </c>
      <c r="C255">
        <v>0.66961300000000001</v>
      </c>
      <c r="D255">
        <v>0.22320400000000001</v>
      </c>
      <c r="E255">
        <v>0.25015399999999999</v>
      </c>
      <c r="F255">
        <v>0.144426</v>
      </c>
      <c r="G255">
        <v>5</v>
      </c>
      <c r="H255">
        <v>3</v>
      </c>
      <c r="I255">
        <v>0.66961300000000001</v>
      </c>
      <c r="J255">
        <v>0.22320400000000001</v>
      </c>
      <c r="K255">
        <v>0.25015399999999999</v>
      </c>
      <c r="L255">
        <v>0.144426</v>
      </c>
      <c r="M255">
        <f>B255/G255</f>
        <v>0.6</v>
      </c>
    </row>
    <row r="256" spans="1:13" x14ac:dyDescent="0.2">
      <c r="A256" t="s">
        <v>51</v>
      </c>
      <c r="B256">
        <f>AVERAGE(B250:B255)</f>
        <v>7.2</v>
      </c>
      <c r="C256">
        <f t="shared" ref="C256:L256" si="62">AVERAGE(C250:C255)</f>
        <v>5.5459701999999993</v>
      </c>
      <c r="D256">
        <f t="shared" si="62"/>
        <v>0.6425327999999999</v>
      </c>
      <c r="E256">
        <f t="shared" si="62"/>
        <v>0.46931860000000009</v>
      </c>
      <c r="F256">
        <f t="shared" si="62"/>
        <v>0.1629514</v>
      </c>
      <c r="G256">
        <f t="shared" si="62"/>
        <v>6</v>
      </c>
      <c r="H256">
        <f t="shared" si="62"/>
        <v>7.2</v>
      </c>
      <c r="I256">
        <f t="shared" si="62"/>
        <v>5.5459701999999993</v>
      </c>
      <c r="J256">
        <f t="shared" si="62"/>
        <v>0.6425327999999999</v>
      </c>
      <c r="K256">
        <f t="shared" si="62"/>
        <v>0.46931860000000009</v>
      </c>
      <c r="L256">
        <f t="shared" si="62"/>
        <v>0.1629514</v>
      </c>
      <c r="M256">
        <f>AVERAGE(M250:M255)</f>
        <v>1.2036507936507936</v>
      </c>
    </row>
    <row r="257" spans="1:13" x14ac:dyDescent="0.2">
      <c r="A257" t="s">
        <v>52</v>
      </c>
      <c r="B257">
        <f>STDEV(B250:B255)</f>
        <v>5.9749476985158623</v>
      </c>
      <c r="C257">
        <f t="shared" ref="C257:L257" si="63">STDEV(C250:C255)</f>
        <v>5.6071166660879479</v>
      </c>
      <c r="D257">
        <f t="shared" si="63"/>
        <v>0.30740691053585656</v>
      </c>
      <c r="E257">
        <f t="shared" si="63"/>
        <v>0.33296479030492077</v>
      </c>
      <c r="F257">
        <f t="shared" si="63"/>
        <v>0.10125421501745001</v>
      </c>
      <c r="G257">
        <f t="shared" si="63"/>
        <v>2</v>
      </c>
      <c r="H257">
        <f t="shared" si="63"/>
        <v>5.9749476985158623</v>
      </c>
      <c r="I257">
        <f t="shared" si="63"/>
        <v>5.6071166660879479</v>
      </c>
      <c r="J257">
        <f t="shared" si="63"/>
        <v>0.30740691053585656</v>
      </c>
      <c r="K257">
        <f t="shared" si="63"/>
        <v>0.33296479030492077</v>
      </c>
      <c r="L257">
        <f t="shared" si="63"/>
        <v>0.10125421501745001</v>
      </c>
      <c r="M257">
        <f>STDEV(M250:M255)</f>
        <v>1.1605909716072091</v>
      </c>
    </row>
    <row r="259" spans="1:13" x14ac:dyDescent="0.2">
      <c r="A259" t="s">
        <v>115</v>
      </c>
      <c r="B259" t="s">
        <v>0</v>
      </c>
      <c r="C259" t="s">
        <v>1</v>
      </c>
      <c r="D259" t="s">
        <v>2</v>
      </c>
      <c r="E259" t="s">
        <v>3</v>
      </c>
      <c r="F259" t="s">
        <v>4</v>
      </c>
      <c r="G259" t="s">
        <v>5</v>
      </c>
      <c r="H259" t="s">
        <v>6</v>
      </c>
      <c r="I259" t="s">
        <v>7</v>
      </c>
      <c r="J259" t="s">
        <v>8</v>
      </c>
      <c r="K259" t="s">
        <v>9</v>
      </c>
      <c r="L259" t="s">
        <v>10</v>
      </c>
      <c r="M259" t="s">
        <v>53</v>
      </c>
    </row>
    <row r="260" spans="1:13" x14ac:dyDescent="0.2">
      <c r="A260" t="s">
        <v>50</v>
      </c>
      <c r="B260">
        <v>18</v>
      </c>
      <c r="C260">
        <v>17.331156</v>
      </c>
      <c r="D260">
        <v>0.96284199999999998</v>
      </c>
      <c r="E260">
        <v>0.87912800000000002</v>
      </c>
      <c r="F260">
        <v>0.20721300000000001</v>
      </c>
      <c r="G260">
        <v>11</v>
      </c>
      <c r="H260">
        <v>18</v>
      </c>
      <c r="I260">
        <v>17.331156</v>
      </c>
      <c r="J260">
        <v>0.96284199999999998</v>
      </c>
      <c r="K260">
        <v>0.87912800000000002</v>
      </c>
      <c r="L260">
        <v>0.20721300000000001</v>
      </c>
      <c r="M260">
        <f t="shared" ref="M260:M265" si="64">B260/G260</f>
        <v>1.6363636363636365</v>
      </c>
    </row>
    <row r="261" spans="1:13" x14ac:dyDescent="0.2">
      <c r="A261" t="s">
        <v>11</v>
      </c>
      <c r="B261">
        <v>13</v>
      </c>
      <c r="C261">
        <v>8.7443559999999998</v>
      </c>
      <c r="D261">
        <v>0.67264299999999999</v>
      </c>
      <c r="E261">
        <v>0.50633399999999995</v>
      </c>
      <c r="F261">
        <v>0.140432</v>
      </c>
      <c r="G261">
        <v>8</v>
      </c>
      <c r="H261">
        <v>13</v>
      </c>
      <c r="I261">
        <v>8.7443559999999998</v>
      </c>
      <c r="J261">
        <v>0.67264299999999999</v>
      </c>
      <c r="K261">
        <v>0.50633399999999995</v>
      </c>
      <c r="L261">
        <v>0.140432</v>
      </c>
      <c r="M261">
        <f t="shared" si="64"/>
        <v>1.625</v>
      </c>
    </row>
    <row r="262" spans="1:13" x14ac:dyDescent="0.2">
      <c r="A262" t="s">
        <v>12</v>
      </c>
      <c r="B262">
        <v>25</v>
      </c>
      <c r="C262">
        <v>21.191276999999999</v>
      </c>
      <c r="D262">
        <v>0.84765100000000004</v>
      </c>
      <c r="E262">
        <v>0.68357400000000001</v>
      </c>
      <c r="F262">
        <v>0.136715</v>
      </c>
      <c r="G262">
        <v>8</v>
      </c>
      <c r="H262">
        <v>25</v>
      </c>
      <c r="I262">
        <v>21.191276999999999</v>
      </c>
      <c r="J262">
        <v>0.84765100000000004</v>
      </c>
      <c r="K262">
        <v>0.68357400000000001</v>
      </c>
      <c r="L262">
        <v>0.136715</v>
      </c>
      <c r="M262">
        <f t="shared" si="64"/>
        <v>3.125</v>
      </c>
    </row>
    <row r="263" spans="1:13" x14ac:dyDescent="0.2">
      <c r="A263" t="s">
        <v>13</v>
      </c>
      <c r="B263">
        <v>11</v>
      </c>
      <c r="C263">
        <v>10.083582</v>
      </c>
      <c r="D263">
        <v>0.91668899999999998</v>
      </c>
      <c r="E263">
        <v>0.64748899999999998</v>
      </c>
      <c r="F263">
        <v>0.19522500000000001</v>
      </c>
      <c r="G263">
        <v>10</v>
      </c>
      <c r="H263">
        <v>11</v>
      </c>
      <c r="I263">
        <v>10.083582</v>
      </c>
      <c r="J263">
        <v>0.91668899999999998</v>
      </c>
      <c r="K263">
        <v>0.64748899999999998</v>
      </c>
      <c r="L263">
        <v>0.19522500000000001</v>
      </c>
      <c r="M263">
        <f t="shared" si="64"/>
        <v>1.1000000000000001</v>
      </c>
    </row>
    <row r="264" spans="1:13" x14ac:dyDescent="0.2">
      <c r="A264" t="s">
        <v>14</v>
      </c>
      <c r="B264">
        <v>25</v>
      </c>
      <c r="C264">
        <v>25.681622000000001</v>
      </c>
      <c r="D264">
        <v>1.0272650000000001</v>
      </c>
      <c r="E264">
        <v>0.96072800000000003</v>
      </c>
      <c r="F264">
        <v>0.19214600000000001</v>
      </c>
      <c r="G264">
        <v>12</v>
      </c>
      <c r="H264">
        <v>25</v>
      </c>
      <c r="I264">
        <v>25.681622000000001</v>
      </c>
      <c r="J264">
        <v>1.0272650000000001</v>
      </c>
      <c r="K264">
        <v>0.96072800000000003</v>
      </c>
      <c r="L264">
        <v>0.19214600000000001</v>
      </c>
      <c r="M264">
        <f t="shared" si="64"/>
        <v>2.0833333333333335</v>
      </c>
    </row>
    <row r="265" spans="1:13" x14ac:dyDescent="0.2">
      <c r="A265" t="s">
        <v>112</v>
      </c>
      <c r="B265">
        <v>6</v>
      </c>
      <c r="C265">
        <v>11.068307000000001</v>
      </c>
      <c r="D265">
        <v>1.8447180000000001</v>
      </c>
      <c r="E265">
        <v>1.7745899999999999</v>
      </c>
      <c r="F265">
        <v>0.72447300000000003</v>
      </c>
      <c r="G265">
        <v>4</v>
      </c>
      <c r="H265">
        <v>6</v>
      </c>
      <c r="I265">
        <v>11.068307000000001</v>
      </c>
      <c r="J265">
        <v>1.8447180000000001</v>
      </c>
      <c r="K265">
        <v>1.7745899999999999</v>
      </c>
      <c r="L265">
        <v>0.72447300000000003</v>
      </c>
      <c r="M265">
        <f t="shared" si="64"/>
        <v>1.5</v>
      </c>
    </row>
    <row r="266" spans="1:13" x14ac:dyDescent="0.2">
      <c r="A266" t="s">
        <v>51</v>
      </c>
      <c r="B266">
        <f>AVERAGE(B260:B265)</f>
        <v>16.333333333333332</v>
      </c>
      <c r="C266">
        <f t="shared" ref="C266:L266" si="65">AVERAGE(C260:C265)</f>
        <v>15.683383333333333</v>
      </c>
      <c r="D266">
        <f t="shared" si="65"/>
        <v>1.0453013333333334</v>
      </c>
      <c r="E266">
        <f t="shared" si="65"/>
        <v>0.90864050000000007</v>
      </c>
      <c r="F266">
        <f t="shared" si="65"/>
        <v>0.26603400000000005</v>
      </c>
      <c r="G266">
        <f t="shared" si="65"/>
        <v>8.8333333333333339</v>
      </c>
      <c r="H266">
        <f t="shared" si="65"/>
        <v>16.333333333333332</v>
      </c>
      <c r="I266">
        <f t="shared" si="65"/>
        <v>15.683383333333333</v>
      </c>
      <c r="J266">
        <f t="shared" si="65"/>
        <v>1.0453013333333334</v>
      </c>
      <c r="K266">
        <f t="shared" si="65"/>
        <v>0.90864050000000007</v>
      </c>
      <c r="L266">
        <f t="shared" si="65"/>
        <v>0.26603400000000005</v>
      </c>
      <c r="M266">
        <f>AVERAGE(M260:M265)</f>
        <v>1.8449494949494951</v>
      </c>
    </row>
    <row r="267" spans="1:13" x14ac:dyDescent="0.2">
      <c r="A267" t="s">
        <v>52</v>
      </c>
      <c r="B267">
        <f>STDEV(B260:B265)</f>
        <v>7.7373552759755482</v>
      </c>
      <c r="C267">
        <f t="shared" ref="C267:L267" si="66">STDEV(C260:C265)</f>
        <v>6.8384739336783467</v>
      </c>
      <c r="D267">
        <f t="shared" si="66"/>
        <v>0.41004216316699277</v>
      </c>
      <c r="E267">
        <f t="shared" si="66"/>
        <v>0.45478746402676912</v>
      </c>
      <c r="F267">
        <f t="shared" si="66"/>
        <v>0.22653866952553597</v>
      </c>
      <c r="G267">
        <f t="shared" si="66"/>
        <v>2.8577380332470406</v>
      </c>
      <c r="H267">
        <f t="shared" si="66"/>
        <v>7.7373552759755482</v>
      </c>
      <c r="I267">
        <f t="shared" si="66"/>
        <v>6.8384739336783467</v>
      </c>
      <c r="J267">
        <f t="shared" si="66"/>
        <v>0.41004216316699277</v>
      </c>
      <c r="K267">
        <f t="shared" si="66"/>
        <v>0.45478746402676912</v>
      </c>
      <c r="L267">
        <f t="shared" si="66"/>
        <v>0.22653866952553597</v>
      </c>
      <c r="M267">
        <f>STDEV(M260:M265)</f>
        <v>0.70159559501248625</v>
      </c>
    </row>
    <row r="269" spans="1:13" x14ac:dyDescent="0.2">
      <c r="A269" t="s">
        <v>105</v>
      </c>
      <c r="B269" t="s">
        <v>0</v>
      </c>
      <c r="C269" t="s">
        <v>1</v>
      </c>
      <c r="D269" t="s">
        <v>2</v>
      </c>
      <c r="E269" t="s">
        <v>3</v>
      </c>
      <c r="F269" t="s">
        <v>4</v>
      </c>
      <c r="G269" t="s">
        <v>5</v>
      </c>
      <c r="H269" t="s">
        <v>6</v>
      </c>
      <c r="I269" t="s">
        <v>7</v>
      </c>
      <c r="J269" t="s">
        <v>8</v>
      </c>
      <c r="K269" t="s">
        <v>9</v>
      </c>
      <c r="L269" t="s">
        <v>10</v>
      </c>
      <c r="M269" t="s">
        <v>53</v>
      </c>
    </row>
    <row r="270" spans="1:13" x14ac:dyDescent="0.2">
      <c r="A270" t="s">
        <v>43</v>
      </c>
      <c r="B270">
        <v>7</v>
      </c>
      <c r="C270">
        <v>4.4115669999999998</v>
      </c>
      <c r="D270">
        <v>0.63022400000000001</v>
      </c>
      <c r="E270">
        <v>0.85544600000000004</v>
      </c>
      <c r="F270">
        <v>0.323328</v>
      </c>
      <c r="G270">
        <v>7</v>
      </c>
      <c r="H270">
        <v>7</v>
      </c>
      <c r="I270">
        <v>4.4115669999999998</v>
      </c>
      <c r="J270">
        <v>0.63022400000000001</v>
      </c>
      <c r="K270">
        <v>0.85544600000000004</v>
      </c>
      <c r="L270">
        <v>0.323328</v>
      </c>
      <c r="M270">
        <f t="shared" ref="M270:M282" si="67">B270/G270</f>
        <v>1</v>
      </c>
    </row>
    <row r="271" spans="1:13" x14ac:dyDescent="0.2">
      <c r="A271" t="s">
        <v>44</v>
      </c>
      <c r="B271">
        <v>18</v>
      </c>
      <c r="C271">
        <v>10.280526999999999</v>
      </c>
      <c r="D271">
        <v>0.57113999999999998</v>
      </c>
      <c r="E271">
        <v>0.423209</v>
      </c>
      <c r="F271">
        <v>9.9751000000000006E-2</v>
      </c>
      <c r="G271">
        <v>10</v>
      </c>
      <c r="H271">
        <v>18</v>
      </c>
      <c r="I271">
        <v>10.280526999999999</v>
      </c>
      <c r="J271">
        <v>0.57113999999999998</v>
      </c>
      <c r="K271">
        <v>0.423209</v>
      </c>
      <c r="L271">
        <v>9.9751000000000006E-2</v>
      </c>
      <c r="M271">
        <f t="shared" si="67"/>
        <v>1.8</v>
      </c>
    </row>
    <row r="272" spans="1:13" x14ac:dyDescent="0.2">
      <c r="A272" t="s">
        <v>45</v>
      </c>
      <c r="B272">
        <v>11</v>
      </c>
      <c r="C272">
        <v>7.9171870000000002</v>
      </c>
      <c r="D272">
        <v>0.71974400000000005</v>
      </c>
      <c r="E272">
        <v>0.72224699999999997</v>
      </c>
      <c r="F272">
        <v>0.21776599999999999</v>
      </c>
      <c r="G272">
        <v>11</v>
      </c>
      <c r="H272">
        <v>11</v>
      </c>
      <c r="I272">
        <v>7.9171870000000002</v>
      </c>
      <c r="J272">
        <v>0.71974400000000005</v>
      </c>
      <c r="K272">
        <v>0.72224699999999997</v>
      </c>
      <c r="L272">
        <v>0.21776599999999999</v>
      </c>
      <c r="M272">
        <f t="shared" si="67"/>
        <v>1</v>
      </c>
    </row>
    <row r="273" spans="1:13" x14ac:dyDescent="0.2">
      <c r="A273" t="s">
        <v>46</v>
      </c>
      <c r="B273">
        <v>12</v>
      </c>
      <c r="C273">
        <v>10.871362</v>
      </c>
      <c r="D273">
        <v>0.90594699999999995</v>
      </c>
      <c r="E273">
        <v>1.08484</v>
      </c>
      <c r="F273">
        <v>0.313166</v>
      </c>
      <c r="G273">
        <v>9</v>
      </c>
      <c r="H273">
        <v>12</v>
      </c>
      <c r="I273">
        <v>10.871362</v>
      </c>
      <c r="J273">
        <v>0.90594699999999995</v>
      </c>
      <c r="K273">
        <v>1.08484</v>
      </c>
      <c r="L273">
        <v>0.313166</v>
      </c>
      <c r="M273">
        <f t="shared" si="67"/>
        <v>1.3333333333333333</v>
      </c>
    </row>
    <row r="274" spans="1:13" x14ac:dyDescent="0.2">
      <c r="A274" t="s">
        <v>34</v>
      </c>
      <c r="B274">
        <v>5</v>
      </c>
      <c r="C274">
        <v>5.0811799999999998</v>
      </c>
      <c r="D274">
        <v>1.0162359999999999</v>
      </c>
      <c r="E274">
        <v>0.63292599999999999</v>
      </c>
      <c r="F274">
        <v>0.283053</v>
      </c>
      <c r="G274">
        <v>4</v>
      </c>
      <c r="H274">
        <v>5</v>
      </c>
      <c r="I274">
        <v>5.0811799999999998</v>
      </c>
      <c r="J274">
        <v>1.0162359999999999</v>
      </c>
      <c r="K274">
        <v>0.63292599999999999</v>
      </c>
      <c r="L274">
        <v>0.283053</v>
      </c>
      <c r="M274">
        <f t="shared" si="67"/>
        <v>1.25</v>
      </c>
    </row>
    <row r="275" spans="1:13" x14ac:dyDescent="0.2">
      <c r="A275" t="s">
        <v>35</v>
      </c>
      <c r="B275">
        <v>8</v>
      </c>
      <c r="C275">
        <v>10.871362</v>
      </c>
      <c r="D275">
        <v>1.3589199999999999</v>
      </c>
      <c r="E275">
        <v>0.98618700000000004</v>
      </c>
      <c r="F275">
        <v>0.34866999999999998</v>
      </c>
      <c r="G275">
        <v>9</v>
      </c>
      <c r="H275">
        <v>8</v>
      </c>
      <c r="I275">
        <v>10.871362</v>
      </c>
      <c r="J275">
        <v>1.3589199999999999</v>
      </c>
      <c r="K275">
        <v>0.98618700000000004</v>
      </c>
      <c r="L275">
        <v>0.34866999999999998</v>
      </c>
      <c r="M275">
        <f t="shared" si="67"/>
        <v>0.88888888888888884</v>
      </c>
    </row>
    <row r="276" spans="1:13" x14ac:dyDescent="0.2">
      <c r="A276" t="s">
        <v>113</v>
      </c>
      <c r="B276">
        <v>18</v>
      </c>
      <c r="C276">
        <v>19.615718000000001</v>
      </c>
      <c r="D276">
        <v>1.0897619999999999</v>
      </c>
      <c r="E276">
        <v>1.1611009999999999</v>
      </c>
      <c r="F276">
        <v>0.27367399999999997</v>
      </c>
      <c r="G276">
        <v>9</v>
      </c>
      <c r="H276">
        <v>18</v>
      </c>
      <c r="I276">
        <v>19.615718000000001</v>
      </c>
      <c r="J276">
        <v>1.0897619999999999</v>
      </c>
      <c r="K276">
        <v>1.1611009999999999</v>
      </c>
      <c r="L276">
        <v>0.27367399999999997</v>
      </c>
      <c r="M276">
        <f t="shared" si="67"/>
        <v>2</v>
      </c>
    </row>
    <row r="277" spans="1:13" x14ac:dyDescent="0.2">
      <c r="A277" t="s">
        <v>47</v>
      </c>
      <c r="B277">
        <v>3</v>
      </c>
      <c r="C277">
        <v>1.024114</v>
      </c>
      <c r="D277">
        <v>0.34137099999999998</v>
      </c>
      <c r="E277">
        <v>0.29034100000000002</v>
      </c>
      <c r="F277">
        <v>0.167628</v>
      </c>
      <c r="G277">
        <v>2</v>
      </c>
      <c r="H277">
        <v>3</v>
      </c>
      <c r="I277">
        <v>1.024114</v>
      </c>
      <c r="J277">
        <v>0.34137099999999998</v>
      </c>
      <c r="K277">
        <v>0.29034100000000002</v>
      </c>
      <c r="L277">
        <v>0.167628</v>
      </c>
      <c r="M277">
        <f t="shared" si="67"/>
        <v>1.5</v>
      </c>
    </row>
    <row r="278" spans="1:13" x14ac:dyDescent="0.2">
      <c r="A278" t="s">
        <v>48</v>
      </c>
      <c r="B278">
        <v>9</v>
      </c>
      <c r="C278">
        <v>6.7749069999999998</v>
      </c>
      <c r="D278">
        <v>0.75276699999999996</v>
      </c>
      <c r="E278">
        <v>0.66858200000000001</v>
      </c>
      <c r="F278">
        <v>0.222861</v>
      </c>
      <c r="G278">
        <v>5</v>
      </c>
      <c r="H278">
        <v>9</v>
      </c>
      <c r="I278">
        <v>6.7749069999999998</v>
      </c>
      <c r="J278">
        <v>0.75276699999999996</v>
      </c>
      <c r="K278">
        <v>0.66858200000000001</v>
      </c>
      <c r="L278">
        <v>0.222861</v>
      </c>
      <c r="M278">
        <f t="shared" si="67"/>
        <v>1.8</v>
      </c>
    </row>
    <row r="279" spans="1:13" x14ac:dyDescent="0.2">
      <c r="A279" t="s">
        <v>67</v>
      </c>
      <c r="B279">
        <v>4</v>
      </c>
      <c r="C279">
        <v>1.2998369999999999</v>
      </c>
      <c r="D279">
        <v>0.324959</v>
      </c>
      <c r="E279">
        <v>0.25602799999999998</v>
      </c>
      <c r="F279">
        <v>0.12801399999999999</v>
      </c>
      <c r="G279">
        <v>1</v>
      </c>
      <c r="H279">
        <v>4</v>
      </c>
      <c r="I279">
        <v>1.2998369999999999</v>
      </c>
      <c r="J279">
        <v>0.324959</v>
      </c>
      <c r="K279">
        <v>0.25602799999999998</v>
      </c>
      <c r="L279">
        <v>0.12801399999999999</v>
      </c>
      <c r="M279">
        <f t="shared" si="67"/>
        <v>4</v>
      </c>
    </row>
    <row r="280" spans="1:13" x14ac:dyDescent="0.2">
      <c r="A280" t="s">
        <v>49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f t="shared" si="67"/>
        <v>0</v>
      </c>
    </row>
    <row r="281" spans="1:13" x14ac:dyDescent="0.2">
      <c r="A281" t="s">
        <v>36</v>
      </c>
      <c r="B281">
        <v>3</v>
      </c>
      <c r="C281">
        <v>4.2146220000000003</v>
      </c>
      <c r="D281">
        <v>1.404874</v>
      </c>
      <c r="E281">
        <v>1.1198760000000001</v>
      </c>
      <c r="F281">
        <v>0.64656100000000005</v>
      </c>
      <c r="G281">
        <v>4</v>
      </c>
      <c r="H281">
        <v>3</v>
      </c>
      <c r="I281">
        <v>4.2146220000000003</v>
      </c>
      <c r="J281">
        <v>1.404874</v>
      </c>
      <c r="K281">
        <v>1.1198760000000001</v>
      </c>
      <c r="L281">
        <v>0.64656100000000005</v>
      </c>
      <c r="M281">
        <f t="shared" si="67"/>
        <v>0.75</v>
      </c>
    </row>
    <row r="282" spans="1:13" x14ac:dyDescent="0.2">
      <c r="A282" t="s">
        <v>43</v>
      </c>
      <c r="B282">
        <v>21</v>
      </c>
      <c r="C282">
        <v>18.276492000000001</v>
      </c>
      <c r="D282">
        <v>0.870309</v>
      </c>
      <c r="E282">
        <v>0.83052899999999996</v>
      </c>
      <c r="F282">
        <v>0.18123600000000001</v>
      </c>
      <c r="G282">
        <v>9</v>
      </c>
      <c r="H282">
        <v>21</v>
      </c>
      <c r="I282">
        <v>18.276492000000001</v>
      </c>
      <c r="J282">
        <v>0.870309</v>
      </c>
      <c r="K282">
        <v>0.83052899999999996</v>
      </c>
      <c r="L282">
        <v>0.18123600000000001</v>
      </c>
      <c r="M282">
        <f t="shared" si="67"/>
        <v>2.3333333333333335</v>
      </c>
    </row>
    <row r="283" spans="1:13" x14ac:dyDescent="0.2">
      <c r="A283" t="s">
        <v>51</v>
      </c>
      <c r="B283">
        <f>AVERAGE(B270:B282)</f>
        <v>9.1538461538461533</v>
      </c>
      <c r="C283">
        <f t="shared" ref="C283:M283" si="68">AVERAGE(C270:C282)</f>
        <v>7.741451923076923</v>
      </c>
      <c r="D283">
        <f t="shared" si="68"/>
        <v>0.76817330769230763</v>
      </c>
      <c r="E283">
        <f t="shared" si="68"/>
        <v>0.69471630769230752</v>
      </c>
      <c r="F283">
        <f t="shared" si="68"/>
        <v>0.24659292307692307</v>
      </c>
      <c r="G283">
        <f t="shared" si="68"/>
        <v>6.2307692307692308</v>
      </c>
      <c r="H283">
        <f t="shared" si="68"/>
        <v>9.1538461538461533</v>
      </c>
      <c r="I283">
        <f t="shared" si="68"/>
        <v>7.741451923076923</v>
      </c>
      <c r="J283">
        <f t="shared" si="68"/>
        <v>0.76817330769230763</v>
      </c>
      <c r="K283">
        <f t="shared" si="68"/>
        <v>0.69471630769230752</v>
      </c>
      <c r="L283">
        <f t="shared" si="68"/>
        <v>0.24659292307692307</v>
      </c>
      <c r="M283">
        <f t="shared" si="68"/>
        <v>1.5119658119658119</v>
      </c>
    </row>
    <row r="284" spans="1:13" x14ac:dyDescent="0.2">
      <c r="A284" t="s">
        <v>52</v>
      </c>
      <c r="B284">
        <f>STDEV(B270:B282)</f>
        <v>6.5681828264007418</v>
      </c>
      <c r="C284">
        <f t="shared" ref="C284:M284" si="69">STDEV(C270:C282)</f>
        <v>6.16536530208817</v>
      </c>
      <c r="D284">
        <f t="shared" si="69"/>
        <v>0.40598248662624675</v>
      </c>
      <c r="E284">
        <f t="shared" si="69"/>
        <v>0.36483774893788651</v>
      </c>
      <c r="F284">
        <f t="shared" si="69"/>
        <v>0.15575352429103143</v>
      </c>
      <c r="G284">
        <f t="shared" si="69"/>
        <v>3.5626265159721267</v>
      </c>
      <c r="H284">
        <f t="shared" si="69"/>
        <v>6.5681828264007418</v>
      </c>
      <c r="I284">
        <f t="shared" si="69"/>
        <v>6.16536530208817</v>
      </c>
      <c r="J284">
        <f t="shared" si="69"/>
        <v>0.40598248662624675</v>
      </c>
      <c r="K284">
        <f t="shared" si="69"/>
        <v>0.36483774893788651</v>
      </c>
      <c r="L284">
        <f t="shared" si="69"/>
        <v>0.15575352429103143</v>
      </c>
      <c r="M284">
        <f t="shared" si="69"/>
        <v>0.96388180740766771</v>
      </c>
    </row>
    <row r="286" spans="1:13" x14ac:dyDescent="0.2">
      <c r="A286" t="s">
        <v>107</v>
      </c>
      <c r="B286" t="s">
        <v>0</v>
      </c>
      <c r="C286" t="s">
        <v>1</v>
      </c>
      <c r="D286" t="s">
        <v>2</v>
      </c>
      <c r="E286" t="s">
        <v>3</v>
      </c>
      <c r="F286" t="s">
        <v>4</v>
      </c>
      <c r="G286" t="s">
        <v>5</v>
      </c>
      <c r="H286" t="s">
        <v>6</v>
      </c>
      <c r="I286" t="s">
        <v>7</v>
      </c>
      <c r="J286" t="s">
        <v>8</v>
      </c>
      <c r="K286" t="s">
        <v>9</v>
      </c>
      <c r="L286" t="s">
        <v>10</v>
      </c>
      <c r="M286" t="s">
        <v>53</v>
      </c>
    </row>
    <row r="287" spans="1:13" x14ac:dyDescent="0.2">
      <c r="A287" t="s">
        <v>75</v>
      </c>
      <c r="B287">
        <v>16</v>
      </c>
      <c r="C287">
        <v>10.55625</v>
      </c>
      <c r="D287">
        <v>0.65976599999999996</v>
      </c>
      <c r="E287">
        <v>0.40001300000000001</v>
      </c>
      <c r="F287">
        <v>0.10000299999999999</v>
      </c>
      <c r="G287">
        <v>7</v>
      </c>
      <c r="H287">
        <v>16</v>
      </c>
      <c r="I287">
        <v>10.55625</v>
      </c>
      <c r="J287">
        <v>0.65976599999999996</v>
      </c>
      <c r="K287">
        <v>0.40001300000000001</v>
      </c>
      <c r="L287">
        <v>0.10000299999999999</v>
      </c>
      <c r="M287">
        <f t="shared" ref="M287:M292" si="70">B287/G287</f>
        <v>2.2857142857142856</v>
      </c>
    </row>
    <row r="288" spans="1:13" x14ac:dyDescent="0.2">
      <c r="A288" t="s">
        <v>25</v>
      </c>
      <c r="B288">
        <v>29</v>
      </c>
      <c r="C288">
        <v>14.928428</v>
      </c>
      <c r="D288">
        <v>0.51477300000000004</v>
      </c>
      <c r="E288">
        <v>0.51388599999999995</v>
      </c>
      <c r="F288">
        <v>9.5425999999999997E-2</v>
      </c>
      <c r="G288">
        <v>8</v>
      </c>
      <c r="H288">
        <v>29</v>
      </c>
      <c r="I288">
        <v>14.928428</v>
      </c>
      <c r="J288">
        <v>0.51477300000000004</v>
      </c>
      <c r="K288">
        <v>0.51388599999999995</v>
      </c>
      <c r="L288">
        <v>9.5425999999999997E-2</v>
      </c>
      <c r="M288">
        <f t="shared" si="70"/>
        <v>3.625</v>
      </c>
    </row>
    <row r="289" spans="1:13" x14ac:dyDescent="0.2">
      <c r="A289" t="s">
        <v>26</v>
      </c>
      <c r="B289">
        <v>17</v>
      </c>
      <c r="C289">
        <v>10.398694000000001</v>
      </c>
      <c r="D289">
        <v>0.61168800000000001</v>
      </c>
      <c r="E289">
        <v>0.50846899999999995</v>
      </c>
      <c r="F289">
        <v>0.123322</v>
      </c>
      <c r="G289">
        <v>9</v>
      </c>
      <c r="H289">
        <v>17</v>
      </c>
      <c r="I289">
        <v>10.398694000000001</v>
      </c>
      <c r="J289">
        <v>0.61168800000000001</v>
      </c>
      <c r="K289">
        <v>0.50846899999999995</v>
      </c>
      <c r="L289">
        <v>0.123322</v>
      </c>
      <c r="M289">
        <f t="shared" si="70"/>
        <v>1.8888888888888888</v>
      </c>
    </row>
    <row r="290" spans="1:13" x14ac:dyDescent="0.2">
      <c r="A290" t="s">
        <v>27</v>
      </c>
      <c r="B290">
        <v>18</v>
      </c>
      <c r="C290">
        <v>11.107696000000001</v>
      </c>
      <c r="D290">
        <v>0.61709400000000003</v>
      </c>
      <c r="E290">
        <v>0.47112100000000001</v>
      </c>
      <c r="F290">
        <v>0.111044</v>
      </c>
      <c r="G290">
        <v>6</v>
      </c>
      <c r="H290">
        <v>18</v>
      </c>
      <c r="I290">
        <v>11.107696000000001</v>
      </c>
      <c r="J290">
        <v>0.61709400000000003</v>
      </c>
      <c r="K290">
        <v>0.47112100000000001</v>
      </c>
      <c r="L290">
        <v>0.111044</v>
      </c>
      <c r="M290">
        <f t="shared" si="70"/>
        <v>3</v>
      </c>
    </row>
    <row r="291" spans="1:13" x14ac:dyDescent="0.2">
      <c r="A291" t="s">
        <v>18</v>
      </c>
      <c r="B291">
        <v>7</v>
      </c>
      <c r="C291">
        <v>9.4139689999999998</v>
      </c>
      <c r="D291">
        <v>1.3448530000000001</v>
      </c>
      <c r="E291">
        <v>0.91741399999999995</v>
      </c>
      <c r="F291">
        <v>0.34675</v>
      </c>
      <c r="G291">
        <v>3</v>
      </c>
      <c r="H291">
        <v>7</v>
      </c>
      <c r="I291">
        <v>9.4139689999999998</v>
      </c>
      <c r="J291">
        <v>1.3448530000000001</v>
      </c>
      <c r="K291">
        <v>0.91741399999999995</v>
      </c>
      <c r="L291">
        <v>0.34675</v>
      </c>
      <c r="M291">
        <f t="shared" si="70"/>
        <v>2.3333333333333335</v>
      </c>
    </row>
    <row r="292" spans="1:13" x14ac:dyDescent="0.2">
      <c r="A292" t="s">
        <v>19</v>
      </c>
      <c r="B292">
        <v>14</v>
      </c>
      <c r="C292">
        <v>10.477472000000001</v>
      </c>
      <c r="D292">
        <v>0.74839100000000003</v>
      </c>
      <c r="E292">
        <v>0.81970500000000002</v>
      </c>
      <c r="F292">
        <v>0.21907499999999999</v>
      </c>
      <c r="G292">
        <v>9</v>
      </c>
      <c r="H292">
        <v>14</v>
      </c>
      <c r="I292">
        <v>10.477472000000001</v>
      </c>
      <c r="J292">
        <v>0.74839100000000003</v>
      </c>
      <c r="K292">
        <v>0.81970500000000002</v>
      </c>
      <c r="L292">
        <v>0.21907499999999999</v>
      </c>
      <c r="M292">
        <f t="shared" si="70"/>
        <v>1.5555555555555556</v>
      </c>
    </row>
    <row r="293" spans="1:13" x14ac:dyDescent="0.2">
      <c r="A293" t="s">
        <v>51</v>
      </c>
      <c r="B293">
        <f>AVERAGE(B287:B292)</f>
        <v>16.833333333333332</v>
      </c>
      <c r="C293">
        <f t="shared" ref="C293:L293" si="71">AVERAGE(C287:C292)</f>
        <v>11.147084833333333</v>
      </c>
      <c r="D293">
        <f t="shared" si="71"/>
        <v>0.74942750000000002</v>
      </c>
      <c r="E293">
        <f t="shared" si="71"/>
        <v>0.60510133333333338</v>
      </c>
      <c r="F293">
        <f t="shared" si="71"/>
        <v>0.16593666666666668</v>
      </c>
      <c r="G293">
        <f t="shared" si="71"/>
        <v>7</v>
      </c>
      <c r="H293">
        <f t="shared" si="71"/>
        <v>16.833333333333332</v>
      </c>
      <c r="I293">
        <f t="shared" si="71"/>
        <v>11.147084833333333</v>
      </c>
      <c r="J293">
        <f t="shared" si="71"/>
        <v>0.74942750000000002</v>
      </c>
      <c r="K293">
        <f t="shared" si="71"/>
        <v>0.60510133333333338</v>
      </c>
      <c r="L293">
        <f t="shared" si="71"/>
        <v>0.16593666666666668</v>
      </c>
      <c r="M293">
        <f>AVERAGE(M287:M292)</f>
        <v>2.4480820105820107</v>
      </c>
    </row>
    <row r="294" spans="1:13" x14ac:dyDescent="0.2">
      <c r="A294" t="s">
        <v>52</v>
      </c>
      <c r="B294">
        <f>STDEV(B287:B292)</f>
        <v>7.1390942469382388</v>
      </c>
      <c r="C294">
        <f t="shared" ref="C294:L294" si="72">STDEV(C287:C292)</f>
        <v>1.9319085952653634</v>
      </c>
      <c r="D294">
        <f t="shared" si="72"/>
        <v>0.30136982079083491</v>
      </c>
      <c r="E294">
        <f t="shared" si="72"/>
        <v>0.21036346383216514</v>
      </c>
      <c r="F294">
        <f t="shared" si="72"/>
        <v>9.9664799366008167E-2</v>
      </c>
      <c r="G294">
        <f t="shared" si="72"/>
        <v>2.2803508501982761</v>
      </c>
      <c r="H294">
        <f t="shared" si="72"/>
        <v>7.1390942469382388</v>
      </c>
      <c r="I294">
        <f t="shared" si="72"/>
        <v>1.9319085952653634</v>
      </c>
      <c r="J294">
        <f t="shared" si="72"/>
        <v>0.30136982079083491</v>
      </c>
      <c r="K294">
        <f t="shared" si="72"/>
        <v>0.21036346383216514</v>
      </c>
      <c r="L294">
        <f t="shared" si="72"/>
        <v>9.9664799366008167E-2</v>
      </c>
      <c r="M294">
        <f>STDEV(M287:M292)</f>
        <v>0.7534693594485331</v>
      </c>
    </row>
    <row r="296" spans="1:13" x14ac:dyDescent="0.2">
      <c r="A296" t="s">
        <v>111</v>
      </c>
      <c r="B296" t="s">
        <v>0</v>
      </c>
      <c r="C296" t="s">
        <v>1</v>
      </c>
      <c r="D296" t="s">
        <v>2</v>
      </c>
      <c r="E296" t="s">
        <v>3</v>
      </c>
      <c r="F296" t="s">
        <v>4</v>
      </c>
      <c r="G296" t="s">
        <v>5</v>
      </c>
      <c r="H296" t="s">
        <v>6</v>
      </c>
      <c r="I296" t="s">
        <v>7</v>
      </c>
      <c r="J296" t="s">
        <v>8</v>
      </c>
      <c r="K296" t="s">
        <v>9</v>
      </c>
      <c r="L296" t="s">
        <v>10</v>
      </c>
      <c r="M296" t="s">
        <v>53</v>
      </c>
    </row>
  </sheetData>
  <pageMargins left="0.7" right="0.7" top="0.75" bottom="0.75" header="0.3" footer="0.3"/>
  <pageSetup orientation="portrait" horizontalDpi="4294967293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139CD8-02A5-4BEB-B025-97AC17DC91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Compiled Data</vt:lpstr>
      <vt:lpstr>Figure Export</vt:lpstr>
      <vt:lpstr>shRNA 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Rhine</dc:creator>
  <cp:lastModifiedBy>Gemechu Mekonnen</cp:lastModifiedBy>
  <cp:lastPrinted>2022-04-20T19:31:42Z</cp:lastPrinted>
  <dcterms:created xsi:type="dcterms:W3CDTF">2021-01-04T21:07:04Z</dcterms:created>
  <dcterms:modified xsi:type="dcterms:W3CDTF">2026-10-12T21:37:16Z</dcterms:modified>
</cp:coreProperties>
</file>