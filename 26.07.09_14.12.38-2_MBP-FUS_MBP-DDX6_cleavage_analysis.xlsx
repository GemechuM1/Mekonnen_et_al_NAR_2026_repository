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gmekonn1_jh_edu/Documents/Data/gels/"/>
    </mc:Choice>
  </mc:AlternateContent>
  <xr:revisionPtr revIDLastSave="39" documentId="8_{0989D0AB-6B77-D84A-BA6F-20A85F281BC6}" xr6:coauthVersionLast="47" xr6:coauthVersionMax="47" xr10:uidLastSave="{8C736511-E893-4D42-A8D7-BEF446FA4CE1}"/>
  <bookViews>
    <workbookView xWindow="980" yWindow="600" windowWidth="27420" windowHeight="16660" activeTab="2" xr2:uid="{08D69C13-87AD-724B-A5FC-74395BBA8BA8}"/>
  </bookViews>
  <sheets>
    <sheet name="Sheet1" sheetId="1" r:id="rId1"/>
    <sheet name="Sheet2" sheetId="2" r:id="rId2"/>
    <sheet name="hour 1" sheetId="4" r:id="rId3"/>
    <sheet name="hour 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4" l="1"/>
  <c r="F5" i="4"/>
  <c r="D5" i="4"/>
  <c r="B5" i="4"/>
  <c r="J9" i="3"/>
  <c r="H9" i="3"/>
  <c r="F9" i="3"/>
  <c r="J8" i="3"/>
  <c r="H8" i="3"/>
  <c r="F8" i="3"/>
  <c r="D9" i="3"/>
  <c r="D8" i="3"/>
  <c r="O17" i="2"/>
  <c r="Q17" i="2" s="1"/>
  <c r="S17" i="2" s="1"/>
  <c r="O18" i="2"/>
  <c r="Q18" i="2" s="1"/>
  <c r="S18" i="2" s="1"/>
  <c r="O19" i="2"/>
  <c r="Q19" i="2" s="1"/>
  <c r="S19" i="2" s="1"/>
  <c r="O20" i="2"/>
  <c r="Q20" i="2" s="1"/>
  <c r="S20" i="2" s="1"/>
  <c r="O21" i="2"/>
  <c r="Q21" i="2" s="1"/>
  <c r="S21" i="2" s="1"/>
  <c r="O22" i="2"/>
  <c r="Q22" i="2" s="1"/>
  <c r="S22" i="2" s="1"/>
  <c r="O23" i="2"/>
  <c r="Q23" i="2" s="1"/>
  <c r="S23" i="2" s="1"/>
  <c r="O24" i="2"/>
  <c r="Q24" i="2" s="1"/>
  <c r="S24" i="2" s="1"/>
  <c r="O25" i="2"/>
  <c r="Q25" i="2" s="1"/>
  <c r="S25" i="2" s="1"/>
  <c r="O26" i="2"/>
  <c r="Q26" i="2" s="1"/>
  <c r="S26" i="2" s="1"/>
  <c r="O27" i="2"/>
  <c r="Q27" i="2" s="1"/>
  <c r="S27" i="2" s="1"/>
  <c r="O16" i="2"/>
  <c r="Q16" i="2" s="1"/>
  <c r="S16" i="2" s="1"/>
  <c r="O10" i="2"/>
  <c r="Q10" i="2" s="1"/>
  <c r="S10" i="2" s="1"/>
  <c r="O7" i="2"/>
  <c r="Q7" i="2" s="1"/>
  <c r="S7" i="2" s="1"/>
  <c r="O9" i="2"/>
  <c r="Q9" i="2" s="1"/>
  <c r="S9" i="2" s="1"/>
  <c r="O8" i="2"/>
  <c r="Q8" i="2" s="1"/>
  <c r="S8" i="2" s="1"/>
  <c r="O6" i="2"/>
  <c r="Q6" i="2" s="1"/>
  <c r="S6" i="2" s="1"/>
  <c r="M6" i="2"/>
  <c r="M7" i="2"/>
  <c r="M9" i="2"/>
  <c r="M8" i="2"/>
  <c r="M10" i="2"/>
  <c r="F2" i="1"/>
  <c r="G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" i="1"/>
  <c r="G1" i="1" s="1"/>
</calcChain>
</file>

<file path=xl/sharedStrings.xml><?xml version="1.0" encoding="utf-8"?>
<sst xmlns="http://schemas.openxmlformats.org/spreadsheetml/2006/main" count="4" uniqueCount="4">
  <si>
    <t>lane1</t>
  </si>
  <si>
    <t>lane2</t>
  </si>
  <si>
    <t>lane3</t>
  </si>
  <si>
    <t>lane4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</si>
</sst>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Sheet2!$E$16:$S$16</c:f>
              <c:numCache>
                <c:formatCode>General</c:formatCode>
                <c:ptCount val="15"/>
                <c:pt idx="0">
                  <c:v>1</c:v>
                </c:pt>
                <c:pt idx="1">
                  <c:v>1126.335</c:v>
                </c:pt>
                <c:pt idx="3">
                  <c:v>13</c:v>
                </c:pt>
                <c:pt idx="4">
                  <c:v>5845.8609999999999</c:v>
                </c:pt>
                <c:pt idx="6">
                  <c:v>25</c:v>
                </c:pt>
                <c:pt idx="7">
                  <c:v>10587.267</c:v>
                </c:pt>
                <c:pt idx="10">
                  <c:v>11713.601999999999</c:v>
                </c:pt>
                <c:pt idx="12">
                  <c:v>9.6156161016910102E-2</c:v>
                </c:pt>
                <c:pt idx="14">
                  <c:v>0.90384383898308984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2-DC4B-8D65-9C740A49729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Sheet2!$E$17:$S$17</c:f>
              <c:numCache>
                <c:formatCode>General</c:formatCode>
                <c:ptCount val="15"/>
                <c:pt idx="0">
                  <c:v>2</c:v>
                </c:pt>
                <c:pt idx="1">
                  <c:v>1044.6980000000001</c:v>
                </c:pt>
                <c:pt idx="3">
                  <c:v>14</c:v>
                </c:pt>
                <c:pt idx="4">
                  <c:v>7461.8109999999997</c:v>
                </c:pt>
                <c:pt idx="6">
                  <c:v>26</c:v>
                </c:pt>
                <c:pt idx="7">
                  <c:v>14666.288</c:v>
                </c:pt>
                <c:pt idx="10">
                  <c:v>15710.986000000001</c:v>
                </c:pt>
                <c:pt idx="12">
                  <c:v>6.6494744505532624E-2</c:v>
                </c:pt>
                <c:pt idx="14">
                  <c:v>0.93350525549446739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2-DC4B-8D65-9C740A49729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Sheet2!$E$18:$S$18</c:f>
              <c:numCache>
                <c:formatCode>General</c:formatCode>
                <c:ptCount val="15"/>
                <c:pt idx="0">
                  <c:v>3</c:v>
                </c:pt>
                <c:pt idx="1">
                  <c:v>2245.3969999999999</c:v>
                </c:pt>
                <c:pt idx="3">
                  <c:v>15</c:v>
                </c:pt>
                <c:pt idx="4">
                  <c:v>8383.518</c:v>
                </c:pt>
                <c:pt idx="6">
                  <c:v>27</c:v>
                </c:pt>
                <c:pt idx="7">
                  <c:v>19450.844000000001</c:v>
                </c:pt>
                <c:pt idx="10">
                  <c:v>21696.241000000002</c:v>
                </c:pt>
                <c:pt idx="12">
                  <c:v>0.10349244369105227</c:v>
                </c:pt>
                <c:pt idx="14">
                  <c:v>0.89650755630894774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62-DC4B-8D65-9C740A49729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Sheet2!$E$19:$S$19</c:f>
              <c:numCache>
                <c:formatCode>General</c:formatCode>
                <c:ptCount val="15"/>
                <c:pt idx="0">
                  <c:v>4</c:v>
                </c:pt>
                <c:pt idx="1">
                  <c:v>2378.8609999999999</c:v>
                </c:pt>
                <c:pt idx="3">
                  <c:v>16</c:v>
                </c:pt>
                <c:pt idx="4">
                  <c:v>7587.933</c:v>
                </c:pt>
                <c:pt idx="6">
                  <c:v>28</c:v>
                </c:pt>
                <c:pt idx="7">
                  <c:v>17822.501</c:v>
                </c:pt>
                <c:pt idx="10">
                  <c:v>20201.362000000001</c:v>
                </c:pt>
                <c:pt idx="12">
                  <c:v>0.11775745615567899</c:v>
                </c:pt>
                <c:pt idx="14">
                  <c:v>0.88224254384432099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62-DC4B-8D65-9C740A497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1813695"/>
        <c:axId val="1641814143"/>
      </c:barChart>
      <c:catAx>
        <c:axId val="1641813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814143"/>
        <c:crosses val="autoZero"/>
        <c:auto val="1"/>
        <c:lblAlgn val="ctr"/>
        <c:lblOffset val="100"/>
        <c:noMultiLvlLbl val="0"/>
      </c:catAx>
      <c:valAx>
        <c:axId val="164181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81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Sheet2!$S$16:$S$19</c:f>
              <c:numCache>
                <c:formatCode>General</c:formatCode>
                <c:ptCount val="4"/>
                <c:pt idx="0">
                  <c:v>0.90384383898308984</c:v>
                </c:pt>
                <c:pt idx="1">
                  <c:v>0.93350525549446739</c:v>
                </c:pt>
                <c:pt idx="2">
                  <c:v>0.89650755630894774</c:v>
                </c:pt>
                <c:pt idx="3">
                  <c:v>0.88224254384432099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8-DE4C-AD75-CE07B746E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797183"/>
        <c:axId val="1605811519"/>
      </c:barChart>
      <c:catAx>
        <c:axId val="1605797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811519"/>
        <c:crosses val="autoZero"/>
        <c:auto val="1"/>
        <c:lblAlgn val="ctr"/>
        <c:lblOffset val="100"/>
        <c:noMultiLvlLbl val="0"/>
      </c:catAx>
      <c:valAx>
        <c:axId val="160581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79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Sheet2!$S$24:$S$27</c:f>
              <c:numCache>
                <c:formatCode>General</c:formatCode>
                <c:ptCount val="4"/>
                <c:pt idx="0">
                  <c:v>0.85268981888485262</c:v>
                </c:pt>
                <c:pt idx="1">
                  <c:v>0.87112480136623938</c:v>
                </c:pt>
                <c:pt idx="2">
                  <c:v>0.88094331509536783</c:v>
                </c:pt>
                <c:pt idx="3">
                  <c:v>0.89999313802541003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C-294E-8AB0-160EEB852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304703"/>
        <c:axId val="1636846207"/>
      </c:barChart>
      <c:catAx>
        <c:axId val="1669304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846207"/>
        <c:crosses val="autoZero"/>
        <c:auto val="1"/>
        <c:lblAlgn val="ctr"/>
        <c:lblOffset val="100"/>
        <c:noMultiLvlLbl val="0"/>
      </c:catAx>
      <c:valAx>
        <c:axId val="163684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30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431800</xdr:colOff>
      <xdr:row>33</xdr:row>
      <xdr:rowOff>152400</xdr:rowOff>
    </xdr:from>
    <xdr:to>
      <xdr:col>12</xdr:col>
      <xdr:colOff>50800</xdr:colOff>
      <xdr:row>47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8FAAB8-DAFC-6A0D-347B-8BCD679B2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165100</xdr:colOff>
      <xdr:row>29</xdr:row>
      <xdr:rowOff>152400</xdr:rowOff>
    </xdr:from>
    <xdr:to>
      <xdr:col>17</xdr:col>
      <xdr:colOff>609600</xdr:colOff>
      <xdr:row>43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DE573D-7AF8-3B0A-D6E4-3B19E28D9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685800</xdr:colOff>
      <xdr:row>29</xdr:row>
      <xdr:rowOff>139700</xdr:rowOff>
    </xdr:from>
    <xdr:to>
      <xdr:col>23</xdr:col>
      <xdr:colOff>304800</xdr:colOff>
      <xdr:row>43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734C58-130C-B7DB-F72C-C97F2E340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79D1-18BB-4C42-AED6-48ADC2D87CAE}">
  <dimension ref="E1:G18"/>
  <sheetViews>
    <sheetView workbookViewId="0">
      <selection activeCell="G1" sqref="G1:G18"/>
    </sheetView>
  </sheetViews>
  <sheetFormatPr baseColWidth="10" defaultRowHeight="16" x14ac:dyDescent="0.2"/>
  <sheetData>
    <row r="1" spans="5:7" x14ac:dyDescent="0.2">
      <c r="E1">
        <v>0.34399999999999997</v>
      </c>
      <c r="F1">
        <f>1/E1</f>
        <v>2.9069767441860468</v>
      </c>
      <c r="G1">
        <f>14-F1</f>
        <v>11.093023255813954</v>
      </c>
    </row>
    <row r="2" spans="5:7" x14ac:dyDescent="0.2">
      <c r="E2">
        <v>0.86099999999999999</v>
      </c>
      <c r="F2">
        <f t="shared" ref="F2:F18" si="0">1/E2</f>
        <v>1.1614401858304297</v>
      </c>
      <c r="G2">
        <f t="shared" ref="G2:G18" si="1">14-F2</f>
        <v>12.838559814169571</v>
      </c>
    </row>
    <row r="3" spans="5:7" x14ac:dyDescent="0.2">
      <c r="E3">
        <v>1.919</v>
      </c>
      <c r="F3">
        <f t="shared" si="0"/>
        <v>0.52110474205315271</v>
      </c>
      <c r="G3">
        <f t="shared" si="1"/>
        <v>13.478895257946848</v>
      </c>
    </row>
    <row r="4" spans="5:7" x14ac:dyDescent="0.2">
      <c r="E4">
        <v>2.722</v>
      </c>
      <c r="F4">
        <f t="shared" si="0"/>
        <v>0.36737692872887584</v>
      </c>
      <c r="G4">
        <f t="shared" si="1"/>
        <v>13.632623071271125</v>
      </c>
    </row>
    <row r="5" spans="5:7" x14ac:dyDescent="0.2">
      <c r="E5">
        <v>3.7679999999999998</v>
      </c>
      <c r="F5">
        <f t="shared" si="0"/>
        <v>0.26539278131634819</v>
      </c>
      <c r="G5">
        <f t="shared" si="1"/>
        <v>13.734607218683651</v>
      </c>
    </row>
    <row r="6" spans="5:7" x14ac:dyDescent="0.2">
      <c r="E6">
        <v>4.1980000000000004</v>
      </c>
      <c r="F6">
        <f t="shared" si="0"/>
        <v>0.23820867079561694</v>
      </c>
      <c r="G6">
        <f t="shared" si="1"/>
        <v>13.761791329204383</v>
      </c>
    </row>
    <row r="7" spans="5:7" x14ac:dyDescent="0.2">
      <c r="E7">
        <v>3.891</v>
      </c>
      <c r="F7">
        <f t="shared" si="0"/>
        <v>0.25700334104343359</v>
      </c>
      <c r="G7">
        <f t="shared" si="1"/>
        <v>13.742996658956567</v>
      </c>
    </row>
    <row r="8" spans="5:7" x14ac:dyDescent="0.2">
      <c r="E8">
        <v>2.887</v>
      </c>
      <c r="F8">
        <f t="shared" si="0"/>
        <v>0.34638032559750603</v>
      </c>
      <c r="G8">
        <f t="shared" si="1"/>
        <v>13.653619674402494</v>
      </c>
    </row>
    <row r="9" spans="5:7" x14ac:dyDescent="0.2">
      <c r="E9">
        <v>2.081</v>
      </c>
      <c r="F9">
        <f t="shared" si="0"/>
        <v>0.48053820278712156</v>
      </c>
      <c r="G9">
        <f t="shared" si="1"/>
        <v>13.519461797212879</v>
      </c>
    </row>
    <row r="10" spans="5:7" x14ac:dyDescent="0.2">
      <c r="E10">
        <v>1.5109999999999999</v>
      </c>
      <c r="F10">
        <f t="shared" si="0"/>
        <v>0.66181336863004636</v>
      </c>
      <c r="G10">
        <f t="shared" si="1"/>
        <v>13.338186631369954</v>
      </c>
    </row>
    <row r="11" spans="5:7" x14ac:dyDescent="0.2">
      <c r="E11">
        <v>1.181</v>
      </c>
      <c r="F11">
        <f t="shared" si="0"/>
        <v>0.84674005080440307</v>
      </c>
      <c r="G11">
        <f t="shared" si="1"/>
        <v>13.153259949195597</v>
      </c>
    </row>
    <row r="12" spans="5:7" x14ac:dyDescent="0.2">
      <c r="E12">
        <v>0.90400000000000003</v>
      </c>
      <c r="F12">
        <f t="shared" si="0"/>
        <v>1.1061946902654867</v>
      </c>
      <c r="G12">
        <f t="shared" si="1"/>
        <v>12.893805309734514</v>
      </c>
    </row>
    <row r="13" spans="5:7" x14ac:dyDescent="0.2">
      <c r="E13">
        <v>0.746</v>
      </c>
      <c r="F13">
        <f t="shared" si="0"/>
        <v>1.3404825737265416</v>
      </c>
      <c r="G13">
        <f t="shared" si="1"/>
        <v>12.659517426273458</v>
      </c>
    </row>
    <row r="14" spans="5:7" x14ac:dyDescent="0.2">
      <c r="E14">
        <v>0.63600000000000001</v>
      </c>
      <c r="F14">
        <f t="shared" si="0"/>
        <v>1.5723270440251571</v>
      </c>
      <c r="G14">
        <f t="shared" si="1"/>
        <v>12.427672955974844</v>
      </c>
    </row>
    <row r="15" spans="5:7" x14ac:dyDescent="0.2">
      <c r="E15">
        <v>0.55800000000000005</v>
      </c>
      <c r="F15">
        <f t="shared" si="0"/>
        <v>1.7921146953405016</v>
      </c>
      <c r="G15">
        <f t="shared" si="1"/>
        <v>12.207885304659499</v>
      </c>
    </row>
    <row r="16" spans="5:7" x14ac:dyDescent="0.2">
      <c r="E16">
        <v>0.52800000000000002</v>
      </c>
      <c r="F16">
        <f t="shared" si="0"/>
        <v>1.8939393939393938</v>
      </c>
      <c r="G16">
        <f t="shared" si="1"/>
        <v>12.106060606060606</v>
      </c>
    </row>
    <row r="17" spans="5:7" x14ac:dyDescent="0.2">
      <c r="E17">
        <v>0.60599999999999998</v>
      </c>
      <c r="F17">
        <f t="shared" si="0"/>
        <v>1.6501650165016502</v>
      </c>
      <c r="G17">
        <f t="shared" si="1"/>
        <v>12.349834983498351</v>
      </c>
    </row>
    <row r="18" spans="5:7" x14ac:dyDescent="0.2">
      <c r="E18">
        <v>0.42299999999999999</v>
      </c>
      <c r="F18">
        <f t="shared" si="0"/>
        <v>2.3640661938534278</v>
      </c>
      <c r="G18">
        <f t="shared" si="1"/>
        <v>11.635933806146571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23EA9-0912-1F47-9B44-FEDA44C765D8}">
  <dimension ref="D6:S27"/>
  <sheetViews>
    <sheetView topLeftCell="C33" workbookViewId="0">
      <selection activeCell="Q27" sqref="Q27"/>
    </sheetView>
  </sheetViews>
  <sheetFormatPr baseColWidth="10" defaultRowHeight="16" x14ac:dyDescent="0.2"/>
  <sheetData>
    <row r="6" spans="4:19" x14ac:dyDescent="0.2">
      <c r="D6">
        <v>1</v>
      </c>
      <c r="E6">
        <v>1461.991</v>
      </c>
      <c r="G6">
        <v>1</v>
      </c>
      <c r="H6">
        <v>6219.933</v>
      </c>
      <c r="J6">
        <v>1</v>
      </c>
      <c r="K6">
        <v>11474.166999999999</v>
      </c>
      <c r="M6">
        <f t="shared" ref="M6:M7" si="0" xml:space="preserve"> K6/E6</f>
        <v>7.8483157557057464</v>
      </c>
      <c r="O6">
        <f xml:space="preserve"> E6+K6</f>
        <v>12936.157999999999</v>
      </c>
      <c r="Q6">
        <f>E6/O6</f>
        <v>0.11301585834062942</v>
      </c>
      <c r="S6">
        <f>1-Q6</f>
        <v>0.88698414165937056</v>
      </c>
    </row>
    <row r="7" spans="4:19" x14ac:dyDescent="0.2">
      <c r="D7">
        <v>2</v>
      </c>
      <c r="E7">
        <v>1982.962</v>
      </c>
      <c r="G7">
        <v>2</v>
      </c>
      <c r="H7">
        <v>7784.4679999999998</v>
      </c>
      <c r="J7">
        <v>2</v>
      </c>
      <c r="K7">
        <v>16134.723</v>
      </c>
      <c r="M7">
        <f t="shared" si="0"/>
        <v>8.1366778586780786</v>
      </c>
      <c r="O7">
        <f t="shared" ref="O7" si="1" xml:space="preserve"> E7+K7</f>
        <v>18117.685000000001</v>
      </c>
      <c r="Q7">
        <f t="shared" ref="Q7:Q10" si="2">E7/O7</f>
        <v>0.10944897209549674</v>
      </c>
      <c r="S7">
        <f t="shared" ref="S7:S10" si="3">1-Q7</f>
        <v>0.89055102790450325</v>
      </c>
    </row>
    <row r="8" spans="4:19" x14ac:dyDescent="0.2">
      <c r="D8">
        <v>4</v>
      </c>
      <c r="E8">
        <v>3239.2460000000001</v>
      </c>
      <c r="G8">
        <v>4</v>
      </c>
      <c r="H8">
        <v>8296.0040000000008</v>
      </c>
      <c r="J8">
        <v>4</v>
      </c>
      <c r="K8">
        <v>20375.007000000001</v>
      </c>
      <c r="M8">
        <f xml:space="preserve"> K8/E8</f>
        <v>6.2900462021099974</v>
      </c>
      <c r="O8">
        <f xml:space="preserve"> E8+K8</f>
        <v>23614.253000000001</v>
      </c>
      <c r="Q8">
        <f>E8/O8</f>
        <v>0.13717334187958433</v>
      </c>
      <c r="S8">
        <f t="shared" si="3"/>
        <v>0.8628266581204157</v>
      </c>
    </row>
    <row r="9" spans="4:19" x14ac:dyDescent="0.2">
      <c r="D9">
        <v>3</v>
      </c>
      <c r="E9">
        <v>3888.681</v>
      </c>
      <c r="G9">
        <v>3</v>
      </c>
      <c r="H9">
        <v>9243.4179999999997</v>
      </c>
      <c r="J9">
        <v>3</v>
      </c>
      <c r="K9">
        <v>22433.179</v>
      </c>
      <c r="M9">
        <f xml:space="preserve"> K9/E9</f>
        <v>5.7688401285680158</v>
      </c>
      <c r="O9">
        <f xml:space="preserve"> E9+K9</f>
        <v>26321.86</v>
      </c>
      <c r="Q9">
        <f>E9/O9</f>
        <v>0.14773579830604677</v>
      </c>
      <c r="S9">
        <f t="shared" si="3"/>
        <v>0.85226420169395323</v>
      </c>
    </row>
    <row r="10" spans="4:19" x14ac:dyDescent="0.2">
      <c r="D10">
        <v>5</v>
      </c>
      <c r="E10">
        <v>1580.0830000000001</v>
      </c>
      <c r="G10">
        <v>5</v>
      </c>
      <c r="H10">
        <v>5039.518</v>
      </c>
      <c r="J10">
        <v>5</v>
      </c>
      <c r="K10">
        <v>11627.945</v>
      </c>
      <c r="M10">
        <f xml:space="preserve"> K10/E10</f>
        <v>7.3590722765829382</v>
      </c>
      <c r="O10">
        <f xml:space="preserve"> E10+K10</f>
        <v>13208.028</v>
      </c>
      <c r="Q10">
        <f t="shared" si="2"/>
        <v>0.11963050048046536</v>
      </c>
      <c r="S10">
        <f t="shared" si="3"/>
        <v>0.88036949951953458</v>
      </c>
    </row>
    <row r="16" spans="4:19" x14ac:dyDescent="0.2">
      <c r="E16">
        <v>1</v>
      </c>
      <c r="F16">
        <v>1126.335</v>
      </c>
      <c r="H16">
        <v>13</v>
      </c>
      <c r="I16">
        <v>5845.8609999999999</v>
      </c>
      <c r="K16">
        <v>25</v>
      </c>
      <c r="L16">
        <v>10587.267</v>
      </c>
      <c r="O16">
        <f xml:space="preserve"> F16+L16</f>
        <v>11713.601999999999</v>
      </c>
      <c r="Q16">
        <f xml:space="preserve"> F16/O16</f>
        <v>9.6156161016910102E-2</v>
      </c>
      <c r="S16">
        <f>1-Q16</f>
        <v>0.90384383898308984</v>
      </c>
    </row>
    <row r="17" spans="5:19" x14ac:dyDescent="0.2">
      <c r="E17">
        <v>2</v>
      </c>
      <c r="F17">
        <v>1044.6980000000001</v>
      </c>
      <c r="H17">
        <v>14</v>
      </c>
      <c r="I17">
        <v>7461.8109999999997</v>
      </c>
      <c r="K17">
        <v>26</v>
      </c>
      <c r="L17">
        <v>14666.288</v>
      </c>
      <c r="O17">
        <f t="shared" ref="O17:O27" si="4" xml:space="preserve"> F17+L17</f>
        <v>15710.986000000001</v>
      </c>
      <c r="Q17">
        <f t="shared" ref="Q17:Q27" si="5" xml:space="preserve"> F17/O17</f>
        <v>6.6494744505532624E-2</v>
      </c>
      <c r="S17">
        <f t="shared" ref="S17:S27" si="6">1-Q17</f>
        <v>0.93350525549446739</v>
      </c>
    </row>
    <row r="18" spans="5:19" x14ac:dyDescent="0.2">
      <c r="E18">
        <v>3</v>
      </c>
      <c r="F18">
        <v>2245.3969999999999</v>
      </c>
      <c r="H18">
        <v>15</v>
      </c>
      <c r="I18">
        <v>8383.518</v>
      </c>
      <c r="K18">
        <v>27</v>
      </c>
      <c r="L18">
        <v>19450.844000000001</v>
      </c>
      <c r="O18">
        <f t="shared" si="4"/>
        <v>21696.241000000002</v>
      </c>
      <c r="Q18">
        <f t="shared" si="5"/>
        <v>0.10349244369105227</v>
      </c>
      <c r="S18">
        <f t="shared" si="6"/>
        <v>0.89650755630894774</v>
      </c>
    </row>
    <row r="19" spans="5:19" x14ac:dyDescent="0.2">
      <c r="E19">
        <v>4</v>
      </c>
      <c r="F19">
        <v>2378.8609999999999</v>
      </c>
      <c r="H19">
        <v>16</v>
      </c>
      <c r="I19">
        <v>7587.933</v>
      </c>
      <c r="K19">
        <v>28</v>
      </c>
      <c r="L19">
        <v>17822.501</v>
      </c>
      <c r="O19">
        <f t="shared" si="4"/>
        <v>20201.362000000001</v>
      </c>
      <c r="Q19">
        <f t="shared" si="5"/>
        <v>0.11775745615567899</v>
      </c>
      <c r="S19">
        <f t="shared" si="6"/>
        <v>0.88224254384432099</v>
      </c>
    </row>
    <row r="20" spans="5:19" x14ac:dyDescent="0.2">
      <c r="E20">
        <v>5</v>
      </c>
      <c r="F20">
        <v>2383.3760000000002</v>
      </c>
      <c r="H20">
        <v>17</v>
      </c>
      <c r="I20">
        <v>5420.5690000000004</v>
      </c>
      <c r="K20">
        <v>29</v>
      </c>
      <c r="L20">
        <v>13213.409</v>
      </c>
      <c r="O20">
        <f t="shared" si="4"/>
        <v>15596.785</v>
      </c>
      <c r="Q20">
        <f t="shared" si="5"/>
        <v>0.15281200580760715</v>
      </c>
      <c r="S20">
        <f t="shared" si="6"/>
        <v>0.84718799419239288</v>
      </c>
    </row>
    <row r="21" spans="5:19" x14ac:dyDescent="0.2">
      <c r="E21">
        <v>6</v>
      </c>
      <c r="F21">
        <v>1861.7190000000001</v>
      </c>
      <c r="H21">
        <v>18</v>
      </c>
      <c r="I21">
        <v>6569.2759999999998</v>
      </c>
      <c r="K21">
        <v>30</v>
      </c>
      <c r="L21">
        <v>15559.894</v>
      </c>
      <c r="O21">
        <f t="shared" si="4"/>
        <v>17421.613000000001</v>
      </c>
      <c r="Q21">
        <f t="shared" si="5"/>
        <v>0.10686260795713921</v>
      </c>
      <c r="S21">
        <f t="shared" si="6"/>
        <v>0.8931373920428608</v>
      </c>
    </row>
    <row r="22" spans="5:19" x14ac:dyDescent="0.2">
      <c r="E22">
        <v>7</v>
      </c>
      <c r="F22">
        <v>1857.6690000000001</v>
      </c>
      <c r="H22">
        <v>19</v>
      </c>
      <c r="I22">
        <v>7567.1040000000003</v>
      </c>
      <c r="K22">
        <v>31</v>
      </c>
      <c r="L22">
        <v>20023.057000000001</v>
      </c>
      <c r="O22">
        <f t="shared" si="4"/>
        <v>21880.726000000002</v>
      </c>
      <c r="Q22">
        <f t="shared" si="5"/>
        <v>8.4899788060048831E-2</v>
      </c>
      <c r="S22">
        <f t="shared" si="6"/>
        <v>0.91510021193995117</v>
      </c>
    </row>
    <row r="23" spans="5:19" x14ac:dyDescent="0.2">
      <c r="E23">
        <v>8</v>
      </c>
      <c r="F23">
        <v>1570.79</v>
      </c>
      <c r="H23">
        <v>20</v>
      </c>
      <c r="I23">
        <v>8085.0540000000001</v>
      </c>
      <c r="K23">
        <v>32</v>
      </c>
      <c r="L23">
        <v>19642.885999999999</v>
      </c>
      <c r="O23">
        <f t="shared" si="4"/>
        <v>21213.675999999999</v>
      </c>
      <c r="Q23">
        <f t="shared" si="5"/>
        <v>7.4046101203770628E-2</v>
      </c>
      <c r="S23">
        <f t="shared" si="6"/>
        <v>0.92595389879622936</v>
      </c>
    </row>
    <row r="24" spans="5:19" x14ac:dyDescent="0.2">
      <c r="E24">
        <v>9</v>
      </c>
      <c r="F24">
        <v>2317.9119999999998</v>
      </c>
      <c r="H24">
        <v>21</v>
      </c>
      <c r="I24">
        <v>8446.5689999999995</v>
      </c>
      <c r="K24">
        <v>33</v>
      </c>
      <c r="L24">
        <v>13416.995000000001</v>
      </c>
      <c r="O24">
        <f t="shared" si="4"/>
        <v>15734.907000000001</v>
      </c>
      <c r="Q24">
        <f t="shared" si="5"/>
        <v>0.14731018111514735</v>
      </c>
      <c r="S24">
        <f t="shared" si="6"/>
        <v>0.85268981888485262</v>
      </c>
    </row>
    <row r="25" spans="5:19" x14ac:dyDescent="0.2">
      <c r="E25">
        <v>10</v>
      </c>
      <c r="F25">
        <v>2442.2759999999998</v>
      </c>
      <c r="H25">
        <v>22</v>
      </c>
      <c r="I25">
        <v>8164.7610000000004</v>
      </c>
      <c r="K25">
        <v>34</v>
      </c>
      <c r="L25">
        <v>16508.43</v>
      </c>
      <c r="O25">
        <f t="shared" si="4"/>
        <v>18950.705999999998</v>
      </c>
      <c r="Q25">
        <f t="shared" si="5"/>
        <v>0.12887519863376068</v>
      </c>
      <c r="S25">
        <f t="shared" si="6"/>
        <v>0.87112480136623938</v>
      </c>
    </row>
    <row r="26" spans="5:19" x14ac:dyDescent="0.2">
      <c r="E26">
        <v>11</v>
      </c>
      <c r="F26">
        <v>2679.64</v>
      </c>
      <c r="H26">
        <v>23</v>
      </c>
      <c r="I26">
        <v>8846.64</v>
      </c>
      <c r="K26">
        <v>35</v>
      </c>
      <c r="L26">
        <v>19827.621999999999</v>
      </c>
      <c r="O26">
        <f t="shared" si="4"/>
        <v>22507.261999999999</v>
      </c>
      <c r="Q26">
        <f t="shared" si="5"/>
        <v>0.11905668490463212</v>
      </c>
      <c r="S26">
        <f t="shared" si="6"/>
        <v>0.88094331509536783</v>
      </c>
    </row>
    <row r="27" spans="5:19" x14ac:dyDescent="0.2">
      <c r="E27">
        <v>12</v>
      </c>
      <c r="F27">
        <v>1215.4770000000001</v>
      </c>
      <c r="H27">
        <v>24</v>
      </c>
      <c r="I27">
        <v>4705.1540000000005</v>
      </c>
      <c r="K27">
        <v>36</v>
      </c>
      <c r="L27">
        <v>10938.459000000001</v>
      </c>
      <c r="O27">
        <f t="shared" si="4"/>
        <v>12153.936000000002</v>
      </c>
      <c r="Q27">
        <f t="shared" si="5"/>
        <v>0.10000686197458995</v>
      </c>
      <c r="S27">
        <f t="shared" si="6"/>
        <v>0.89999313802541003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091C-3C80-A146-8AC7-7CCAEFD3AE58}">
  <dimension ref="A1:H5"/>
  <sheetViews>
    <sheetView tabSelected="1" topLeftCell="A14" workbookViewId="0">
      <selection activeCell="I10" sqref="I10"/>
    </sheetView>
  </sheetViews>
  <sheetFormatPr baseColWidth="10" defaultRowHeight="16" x14ac:dyDescent="0.2"/>
  <sheetData>
    <row r="1" spans="1:8" x14ac:dyDescent="0.2">
      <c r="A1">
        <v>1</v>
      </c>
      <c r="B1">
        <v>616.26300000000003</v>
      </c>
      <c r="C1">
        <v>4</v>
      </c>
      <c r="D1">
        <v>643.16300000000001</v>
      </c>
      <c r="E1">
        <v>7</v>
      </c>
      <c r="F1">
        <v>911.64800000000002</v>
      </c>
      <c r="G1">
        <v>11</v>
      </c>
      <c r="H1">
        <v>812.82</v>
      </c>
    </row>
    <row r="2" spans="1:8" x14ac:dyDescent="0.2">
      <c r="A2">
        <v>2</v>
      </c>
      <c r="B2">
        <v>7388.4179999999997</v>
      </c>
      <c r="C2">
        <v>5</v>
      </c>
      <c r="D2">
        <v>8363.7109999999993</v>
      </c>
      <c r="E2">
        <v>8</v>
      </c>
      <c r="F2">
        <v>163.435</v>
      </c>
      <c r="G2">
        <v>12</v>
      </c>
      <c r="H2">
        <v>74.95</v>
      </c>
    </row>
    <row r="3" spans="1:8" x14ac:dyDescent="0.2">
      <c r="A3">
        <v>3</v>
      </c>
      <c r="B3">
        <v>13391.045</v>
      </c>
      <c r="C3">
        <v>6</v>
      </c>
      <c r="D3">
        <v>16565.994999999999</v>
      </c>
      <c r="E3">
        <v>9</v>
      </c>
      <c r="F3">
        <v>9361.4680000000008</v>
      </c>
      <c r="G3">
        <v>13</v>
      </c>
      <c r="H3">
        <v>8382.1749999999993</v>
      </c>
    </row>
    <row r="4" spans="1:8" x14ac:dyDescent="0.2">
      <c r="E4">
        <v>10</v>
      </c>
      <c r="F4">
        <v>21127.48</v>
      </c>
      <c r="G4">
        <v>14</v>
      </c>
      <c r="H4">
        <v>18905.065999999999</v>
      </c>
    </row>
    <row r="5" spans="1:8" x14ac:dyDescent="0.2">
      <c r="B5">
        <f xml:space="preserve"> 1-B1/B3</f>
        <v>0.9539794691153678</v>
      </c>
      <c r="D5">
        <f xml:space="preserve"> 1-D1/D3</f>
        <v>0.96117570963893206</v>
      </c>
      <c r="F5">
        <f xml:space="preserve"> 1-SUM(F1:F2)/F4</f>
        <v>0.94911447082188694</v>
      </c>
      <c r="H5">
        <f xml:space="preserve"> 1-SUM(H1:H2)/H4</f>
        <v>0.95304062942705414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FB5F-F308-EB4C-97D6-E1D3CF28485F}">
  <dimension ref="C2:J9"/>
  <sheetViews>
    <sheetView workbookViewId="0">
      <selection activeCell="D9" sqref="D9"/>
    </sheetView>
  </sheetViews>
  <sheetFormatPr baseColWidth="10" defaultRowHeight="16" x14ac:dyDescent="0.2"/>
  <sheetData>
    <row r="2" spans="3:10" x14ac:dyDescent="0.2">
      <c r="D2" t="s">
        <v>0</v>
      </c>
      <c r="F2" t="s">
        <v>1</v>
      </c>
      <c r="H2" t="s">
        <v>2</v>
      </c>
      <c r="J2" t="s">
        <v>3</v>
      </c>
    </row>
    <row r="3" spans="3:10" x14ac:dyDescent="0.2">
      <c r="C3">
        <v>1</v>
      </c>
      <c r="D3">
        <v>304.79899999999998</v>
      </c>
      <c r="E3">
        <v>5</v>
      </c>
      <c r="F3">
        <v>338.09199999999998</v>
      </c>
      <c r="G3">
        <v>9</v>
      </c>
      <c r="H3">
        <v>491.74900000000002</v>
      </c>
      <c r="I3">
        <v>13</v>
      </c>
      <c r="J3">
        <v>254.435</v>
      </c>
    </row>
    <row r="4" spans="3:10" x14ac:dyDescent="0.2">
      <c r="C4">
        <v>2</v>
      </c>
      <c r="D4">
        <v>869.23400000000004</v>
      </c>
      <c r="E4">
        <v>6</v>
      </c>
      <c r="F4">
        <v>448.45600000000002</v>
      </c>
      <c r="G4">
        <v>10</v>
      </c>
      <c r="H4">
        <v>614.40599999999995</v>
      </c>
      <c r="I4">
        <v>14</v>
      </c>
      <c r="J4">
        <v>626.16300000000001</v>
      </c>
    </row>
    <row r="5" spans="3:10" x14ac:dyDescent="0.2">
      <c r="C5">
        <v>3</v>
      </c>
      <c r="D5">
        <v>7381.69</v>
      </c>
      <c r="E5">
        <v>7</v>
      </c>
      <c r="F5">
        <v>6861.3969999999999</v>
      </c>
      <c r="G5">
        <v>11</v>
      </c>
      <c r="H5">
        <v>7043.69</v>
      </c>
      <c r="I5">
        <v>15</v>
      </c>
      <c r="J5">
        <v>4548.1040000000003</v>
      </c>
    </row>
    <row r="6" spans="3:10" x14ac:dyDescent="0.2">
      <c r="C6">
        <v>4</v>
      </c>
      <c r="D6">
        <v>10458.731</v>
      </c>
      <c r="E6">
        <v>8</v>
      </c>
      <c r="F6">
        <v>13090.803</v>
      </c>
      <c r="G6">
        <v>12</v>
      </c>
      <c r="H6">
        <v>15638.752</v>
      </c>
      <c r="I6">
        <v>16</v>
      </c>
      <c r="J6">
        <v>10572.045</v>
      </c>
    </row>
    <row r="8" spans="3:10" x14ac:dyDescent="0.2">
      <c r="D8">
        <f>SUM(D3:D4)</f>
        <v>1174.0329999999999</v>
      </c>
      <c r="F8">
        <f>SUM(F3:F4)</f>
        <v>786.548</v>
      </c>
      <c r="H8">
        <f>SUM(H3:H4)</f>
        <v>1106.155</v>
      </c>
      <c r="J8">
        <f>SUM(J3:J4)</f>
        <v>880.59799999999996</v>
      </c>
    </row>
    <row r="9" spans="3:10" x14ac:dyDescent="0.2">
      <c r="D9">
        <f>1-D8/D6</f>
        <v>0.88774613287214288</v>
      </c>
      <c r="F9">
        <f>1-F8/F6</f>
        <v>0.93991598529135301</v>
      </c>
      <c r="H9">
        <f>1-H8/H6</f>
        <v>0.92926833292068323</v>
      </c>
      <c r="J9">
        <f>1-J8/J6</f>
        <v>0.91670504618548254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hour 1</vt:lpstr>
      <vt:lpstr>hour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Gemechu Mekonnen</dc:creator>
  <cp:lastModifiedBy>Gemechu Mekonnen</cp:lastModifiedBy>
  <dcterms:created xsi:type="dcterms:W3CDTF">2026-07-26T22:31:11Z</dcterms:created>
  <dcterms:modified xsi:type="dcterms:W3CDTF">2026-10-14T23:23:23Z</dcterms:modified>
</cp:coreProperties>
</file>